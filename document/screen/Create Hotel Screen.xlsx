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40EBFD46-BC6C-4B34-8EEA-DF70041D346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istories" sheetId="1" r:id="rId1"/>
    <sheet name="field definition" sheetId="3" r:id="rId2"/>
    <sheet name="Outline of processing" sheetId="4" r:id="rId3"/>
    <sheet name="input definition" sheetId="5" r:id="rId4"/>
    <sheet name="Message" sheetId="6" r:id="rId5"/>
    <sheet name="Header" sheetId="7" r:id="rId6"/>
  </sheets>
  <externalReferences>
    <externalReference r:id="rId7"/>
  </externalReferences>
  <definedNames>
    <definedName name="チェック内容" localSheetId="4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41" i="5" l="1"/>
  <c r="AM40" i="5"/>
  <c r="AM37" i="5"/>
  <c r="AM33" i="5"/>
  <c r="AM31" i="5"/>
  <c r="AM24" i="5"/>
  <c r="AM42" i="5"/>
  <c r="AM47" i="5"/>
  <c r="AM46" i="5"/>
  <c r="AM45" i="5"/>
  <c r="AM44" i="5"/>
  <c r="AM43" i="5"/>
  <c r="AM39" i="5"/>
  <c r="AM38" i="5"/>
  <c r="AM36" i="5"/>
  <c r="AM35" i="5"/>
  <c r="AM34" i="5"/>
  <c r="AM32" i="5"/>
  <c r="AM30" i="5"/>
  <c r="AM29" i="5"/>
  <c r="AM28" i="5"/>
  <c r="AM27" i="5"/>
  <c r="AM26" i="5"/>
  <c r="AM25" i="5"/>
  <c r="AM23" i="5"/>
  <c r="AM22" i="5"/>
  <c r="AM21" i="5"/>
  <c r="AM20" i="5"/>
  <c r="AM19" i="5"/>
  <c r="AM18" i="5"/>
  <c r="AM17" i="5"/>
  <c r="AM16" i="5"/>
  <c r="AM15" i="5"/>
  <c r="N4" i="5"/>
  <c r="AV4" i="1"/>
  <c r="AV3" i="1"/>
  <c r="AV4" i="3"/>
  <c r="N4" i="4"/>
  <c r="N4" i="3"/>
  <c r="AV6" i="1"/>
  <c r="AV6" i="3"/>
  <c r="AV3" i="3"/>
  <c r="AV6" i="4"/>
  <c r="AV4" i="4"/>
  <c r="AV3" i="4"/>
  <c r="AV2" i="4"/>
  <c r="N9" i="4"/>
  <c r="N3" i="4"/>
  <c r="N6" i="4"/>
  <c r="N8" i="4"/>
  <c r="N2" i="4"/>
  <c r="N9" i="5"/>
  <c r="N3" i="5"/>
  <c r="N6" i="5"/>
  <c r="N8" i="5"/>
  <c r="N2" i="5"/>
  <c r="AV6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N9" i="3"/>
  <c r="N9" i="1"/>
  <c r="AV4" i="5" l="1"/>
</calcChain>
</file>

<file path=xl/sharedStrings.xml><?xml version="1.0" encoding="utf-8"?>
<sst xmlns="http://schemas.openxmlformats.org/spreadsheetml/2006/main" count="540" uniqueCount="282">
  <si>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</si>
  <si>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</si>
  <si>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</si>
  <si>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</si>
  <si>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</si>
  <si>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</si>
  <si>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</si>
  <si>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</si>
  <si>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</si>
  <si>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</si>
  <si>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</si>
  <si>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</si>
  <si>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</si>
  <si>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</si>
  <si>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</si>
  <si>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</si>
  <si>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</si>
  <si>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</si>
  <si>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</si>
  <si>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</si>
  <si>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</si>
  <si>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</si>
  <si>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</si>
  <si>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</si>
  <si>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</si>
  <si>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</si>
  <si>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</si>
  <si>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</si>
  <si>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</si>
  <si>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</si>
  <si>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</si>
  <si>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</si>
  <si>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</si>
  <si>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</si>
  <si>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</si>
  <si>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</si>
  <si>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</si>
  <si>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</si>
  <si>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</si>
  <si>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</si>
  <si>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</si>
  <si>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</si>
  <si>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</si>
  <si>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</si>
  <si>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</si>
  <si>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</si>
  <si>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</si>
  <si>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</si>
  <si>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</si>
  <si>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</si>
  <si>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</si>
  <si>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</si>
  <si>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</si>
  <si>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</si>
  <si>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</si>
  <si>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</si>
  <si>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</si>
  <si>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</si>
  <si>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</si>
  <si>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</si>
  <si>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</si>
  <si>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</si>
  <si>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</si>
  <si>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</si>
  <si>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</si>
  <si>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</si>
  <si>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</si>
  <si>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</si>
  <si>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</si>
  <si>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</si>
  <si>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</si>
  <si>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</si>
  <si>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</si>
  <si>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 xml:space="preserve">1. </t>
  </si>
  <si>
    <t>1.1.</t>
  </si>
  <si>
    <t>1.1.1.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</si>
  <si>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</si>
  <si>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</si>
  <si>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</si>
  <si>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</si>
  <si>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</si>
  <si>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</si>
  <si>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</si>
  <si>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</si>
  <si>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</si>
  <si>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</si>
  <si>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</si>
  <si>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</si>
  <si>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</si>
  <si>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</si>
  <si>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</si>
  <si>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</si>
  <si>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</si>
  <si>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</si>
  <si>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</si>
  <si>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</si>
  <si>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</si>
  <si>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</si>
  <si>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</si>
  <si>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</si>
  <si>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</si>
  <si>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</si>
  <si>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</si>
  <si>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</si>
  <si>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</si>
  <si>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</si>
  <si>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</si>
  <si>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</si>
  <si>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</si>
  <si>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</si>
  <si>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</si>
  <si>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</si>
  <si>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</si>
  <si>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</si>
  <si>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</si>
  <si>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</si>
  <si>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</si>
  <si>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</si>
  <si>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</si>
  <si>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</si>
  <si>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</si>
  <si>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</si>
  <si>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</si>
  <si>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</si>
  <si>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</si>
  <si>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</si>
  <si>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</si>
  <si>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</si>
  <si>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</si>
  <si>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</si>
  <si>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</si>
  <si>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</si>
  <si>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</si>
  <si>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</si>
  <si>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お知らせ詳細（モーダル）</t>
  </si>
  <si>
    <t>Notification Detail (modal)</t>
  </si>
  <si>
    <t>Literal</t>
  </si>
  <si>
    <t>O</t>
  </si>
  <si>
    <t>Detail Design</t>
  </si>
  <si>
    <t>roles</t>
  </si>
  <si>
    <t>name</t>
  </si>
  <si>
    <t>description</t>
  </si>
  <si>
    <t>name of the role</t>
  </si>
  <si>
    <t>describe the permissions of a person with that role</t>
  </si>
  <si>
    <t>Create Hotel</t>
  </si>
  <si>
    <t>Create hotel</t>
  </si>
  <si>
    <t>Create new hotel with given information</t>
  </si>
  <si>
    <t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t>
  </si>
  <si>
    <t>Name (EN)</t>
  </si>
  <si>
    <t>Name (JP)</t>
  </si>
  <si>
    <t>Telephone</t>
  </si>
  <si>
    <t>Fax</t>
  </si>
  <si>
    <t>Company Name</t>
  </si>
  <si>
    <t>Tax Code</t>
  </si>
  <si>
    <t>Email</t>
  </si>
  <si>
    <t>Address 1</t>
  </si>
  <si>
    <t>Address 2</t>
  </si>
  <si>
    <t>Create</t>
  </si>
  <si>
    <t>Back</t>
  </si>
  <si>
    <t>Success message</t>
  </si>
  <si>
    <t>Fail message</t>
  </si>
  <si>
    <t>notifiy if hotel is created successfullly</t>
  </si>
  <si>
    <t>notify if hotel creation failed</t>
  </si>
  <si>
    <t>company which owns the hotel</t>
  </si>
  <si>
    <t>button allows users to create hotels</t>
  </si>
  <si>
    <t>button allows users to turn back to the previous page</t>
  </si>
  <si>
    <t>This address is optional</t>
  </si>
  <si>
    <t>Transition from other screen</t>
  </si>
  <si>
    <t>Initialize screen</t>
  </si>
  <si>
    <t>Display the hotel creation interface</t>
  </si>
  <si>
    <t>Display items on the screen according to the screen layout</t>
  </si>
  <si>
    <t>Handle create hotel</t>
  </si>
  <si>
    <t>Click button create</t>
  </si>
  <si>
    <t>Validate input data, the creating a new hotel</t>
  </si>
  <si>
    <t>Handle process create hotel</t>
  </si>
  <si>
    <t>Perform validation on user's input values</t>
  </si>
  <si>
    <t>If unsuccessful, display an error message and show error details in the input field that caused the error</t>
  </si>
  <si>
    <t>Cancel the hotel creation process</t>
  </si>
  <si>
    <t>Click button cancel</t>
  </si>
  <si>
    <t>Cancel hotel creation process</t>
  </si>
  <si>
    <t>If the user clicks the Cancel button, the modal will disappear</t>
  </si>
  <si>
    <t>Terminate the new user creation process and redirect the user to previous page without making any changes.</t>
  </si>
  <si>
    <t>1.1.2.</t>
  </si>
  <si>
    <t>Processing flow</t>
  </si>
  <si>
    <t>n:255</t>
  </si>
  <si>
    <t>Check ID/Check Name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</si>
  <si>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</si>
  <si>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</si>
  <si>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</si>
  <si>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</si>
  <si>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</si>
  <si>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</si>
  <si>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</si>
  <si>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</si>
  <si>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</si>
  <si>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</si>
  <si>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</si>
  <si>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</si>
  <si>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</si>
  <si>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</si>
  <si>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</si>
  <si>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</si>
  <si>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</si>
  <si>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</si>
  <si>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</si>
  <si>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</si>
  <si>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</si>
  <si>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</si>
  <si>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</si>
  <si>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</si>
  <si>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</si>
  <si>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Validation conditions</t>
  </si>
  <si>
    <t>name en</t>
  </si>
  <si>
    <t>CK015/Unique data field</t>
  </si>
  <si>
    <t>CK009/Alphanumeric characters</t>
  </si>
  <si>
    <t>name jp</t>
  </si>
  <si>
    <t>CK025/ID exists in database</t>
  </si>
  <si>
    <t>Database:City</t>
  </si>
  <si>
    <t>n:6</t>
  </si>
  <si>
    <t>email</t>
  </si>
  <si>
    <t>telephone</t>
  </si>
  <si>
    <t>CK022/Fax, Telephone</t>
  </si>
  <si>
    <t>fax</t>
  </si>
  <si>
    <t>CK023/Contains numbers only</t>
  </si>
  <si>
    <t>adress  1</t>
  </si>
  <si>
    <t>n:5</t>
  </si>
  <si>
    <t>address 2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</si>
  <si>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</si>
  <si>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</si>
  <si>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</si>
  <si>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</si>
  <si>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</si>
  <si>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</si>
  <si>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</si>
  <si>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</si>
  <si>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</si>
  <si>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</si>
  <si>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</si>
  <si>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</si>
  <si>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</si>
  <si>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*Confirm [Item name] not correct.</t>
  </si>
  <si>
    <t>*The [Item name] has already been taken.</t>
  </si>
  <si>
    <t>*Please upload [Item name].</t>
  </si>
  <si>
    <t>Check fax, telephone</t>
  </si>
  <si>
    <t>Fax, telephone check</t>
  </si>
  <si>
    <t>Input value should only contain number, space and '-'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</si>
  <si>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</si>
  <si>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</si>
  <si>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</si>
  <si>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</si>
  <si>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</si>
  <si>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</si>
  <si>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</si>
  <si>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</si>
  <si>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Others</t>
  </si>
  <si>
    <t>*The [Item name] must not be greater than [Size] kilobytes.</t>
  </si>
  <si>
    <t>CK25</t>
  </si>
  <si>
    <t>Check id is exists in database</t>
  </si>
  <si>
    <t>If ID is not exists in database, an error occurs.</t>
  </si>
  <si>
    <t>*The [Item name] value is not exists in database [Database].</t>
  </si>
  <si>
    <t xml:space="preserve">CK026/Check Image </t>
  </si>
  <si>
    <t>CK26</t>
  </si>
  <si>
    <t>Check image</t>
  </si>
  <si>
    <t>Check file</t>
  </si>
  <si>
    <t>If upload file is not an image, an error occurs.</t>
  </si>
  <si>
    <t>*The [Item name] must be an image.</t>
  </si>
  <si>
    <t>CK028/others</t>
  </si>
  <si>
    <t>CK027</t>
  </si>
  <si>
    <t>hotel code</t>
  </si>
  <si>
    <t>company name</t>
  </si>
  <si>
    <t>tax code</t>
  </si>
  <si>
    <t>city id</t>
  </si>
  <si>
    <r>
      <t xml:space="preserve">Display blank input fields, </t>
    </r>
    <r>
      <rPr>
        <b/>
        <sz val="9"/>
        <color theme="1"/>
        <rFont val="Meiryo"/>
        <family val="2"/>
        <charset val="128"/>
      </rPr>
      <t xml:space="preserve">Save Hotel </t>
    </r>
    <r>
      <rPr>
        <sz val="9"/>
        <color theme="1"/>
        <rFont val="Meiryo"/>
        <family val="2"/>
        <charset val="128"/>
      </rPr>
      <t>button is disabled</t>
    </r>
  </si>
  <si>
    <t xml:space="preserve">List cities, display --Select City-- </t>
  </si>
  <si>
    <t>If successful, notify by a success message "Hotel created successfully!!" and redirect to the hotel list page</t>
  </si>
  <si>
    <t>Display a confirmation modal asking the user: Are you sure to cancel the new hotel creation process?</t>
  </si>
  <si>
    <r>
      <t xml:space="preserve">If the user clicks the </t>
    </r>
    <r>
      <rPr>
        <b/>
        <sz val="9"/>
        <color theme="1"/>
        <rFont val="Meiryo"/>
        <family val="2"/>
        <charset val="128"/>
      </rPr>
      <t>Yes, back to list hotels page!</t>
    </r>
    <r>
      <rPr>
        <sz val="9"/>
        <color theme="1"/>
        <rFont val="Meiryo"/>
        <family val="2"/>
        <charset val="128"/>
      </rPr>
      <t xml:space="preserve"> button, then return to the list hotels page</t>
    </r>
  </si>
  <si>
    <t>1.2.　</t>
  </si>
  <si>
    <t>1.3.</t>
  </si>
  <si>
    <r>
      <t xml:space="preserve">When change the value, the </t>
    </r>
    <r>
      <rPr>
        <b/>
        <sz val="9"/>
        <color theme="1"/>
        <rFont val="Meiryo"/>
        <family val="2"/>
        <charset val="128"/>
      </rPr>
      <t xml:space="preserve">Save Hotel </t>
    </r>
    <r>
      <rPr>
        <sz val="9"/>
        <color theme="1"/>
        <rFont val="Meiryo"/>
        <family val="2"/>
        <charset val="128"/>
      </rPr>
      <t xml:space="preserve">button will be able to click, if the all input values change to init values, the </t>
    </r>
    <r>
      <rPr>
        <b/>
        <sz val="9"/>
        <color theme="1"/>
        <rFont val="Meiryo"/>
        <family val="2"/>
        <charset val="128"/>
      </rPr>
      <t>Svae Hotel</t>
    </r>
    <r>
      <rPr>
        <sz val="9"/>
        <color theme="1"/>
        <rFont val="Meiryo"/>
        <family val="2"/>
        <charset val="128"/>
      </rPr>
      <t xml:space="preserve"> button will be disbled</t>
    </r>
  </si>
  <si>
    <t>n:13</t>
  </si>
  <si>
    <t>n:10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</si>
</sst>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C6D9F0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2" fillId="2" borderId="0" xfId="0" applyFont="1" applyFill="1" applyAlignment="1">
      <alignment vertical="top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top"/>
    </xf>
    <xf numFmtId="0" fontId="2" fillId="2" borderId="11" xfId="0" applyFont="1" applyFill="1" applyBorder="1" applyAlignment="1">
      <alignment vertical="center"/>
    </xf>
    <xf numFmtId="0" fontId="2" fillId="2" borderId="9" xfId="0" applyFont="1" applyFill="1" applyBorder="1" applyAlignment="1">
      <alignment vertical="top"/>
    </xf>
    <xf numFmtId="0" fontId="2" fillId="3" borderId="2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2" fillId="2" borderId="0" xfId="0" quotePrefix="1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vertical="top" wrapText="1"/>
    </xf>
    <xf numFmtId="0" fontId="1" fillId="7" borderId="12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164" fontId="2" fillId="2" borderId="9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164" fontId="2" fillId="0" borderId="9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14" fontId="8" fillId="2" borderId="1" xfId="0" applyNumberFormat="1" applyFont="1" applyFill="1" applyBorder="1" applyAlignment="1">
      <alignment horizontal="center" vertical="top"/>
    </xf>
    <xf numFmtId="14" fontId="8" fillId="2" borderId="2" xfId="0" applyNumberFormat="1" applyFont="1" applyFill="1" applyBorder="1" applyAlignment="1">
      <alignment horizontal="center" vertical="top"/>
    </xf>
    <xf numFmtId="14" fontId="8" fillId="2" borderId="9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14" fontId="2" fillId="2" borderId="9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164" fontId="2" fillId="2" borderId="9" xfId="0" applyNumberFormat="1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shrinkToFit="1"/>
    </xf>
    <xf numFmtId="0" fontId="2" fillId="2" borderId="18" xfId="0" applyFont="1" applyFill="1" applyBorder="1" applyAlignment="1">
      <alignment horizontal="left" vertical="center" shrinkToFit="1"/>
    </xf>
    <xf numFmtId="0" fontId="2" fillId="2" borderId="17" xfId="0" applyFont="1" applyFill="1" applyBorder="1" applyAlignment="1">
      <alignment horizontal="left" vertical="center" shrinkToFit="1"/>
    </xf>
    <xf numFmtId="0" fontId="2" fillId="2" borderId="22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2" fillId="2" borderId="2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shrinkToFit="1"/>
    </xf>
    <xf numFmtId="0" fontId="2" fillId="2" borderId="1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2" fillId="2" borderId="22" xfId="0" applyFont="1" applyFill="1" applyBorder="1" applyAlignment="1">
      <alignment horizontal="left" vertical="center" shrinkToFit="1"/>
    </xf>
    <xf numFmtId="0" fontId="2" fillId="2" borderId="15" xfId="0" applyFont="1" applyFill="1" applyBorder="1" applyAlignment="1">
      <alignment horizontal="left" vertical="center" shrinkToFit="1"/>
    </xf>
    <xf numFmtId="0" fontId="2" fillId="2" borderId="23" xfId="0" applyFont="1" applyFill="1" applyBorder="1" applyAlignment="1">
      <alignment horizontal="left" vertical="center" shrinkToFit="1"/>
    </xf>
    <xf numFmtId="0" fontId="2" fillId="2" borderId="30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shrinkToFit="1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7" borderId="1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Edit%20Hotel%20Screen.xlsx" TargetMode="External"/><Relationship Id="rId1" Type="http://schemas.openxmlformats.org/officeDocument/2006/relationships/externalLinkPath" Target="Edit%20Hotel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Layout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Check ID/Check Name</v>
          </cell>
          <cell r="B1" t="str">
            <v>Check ID</v>
          </cell>
          <cell r="C1" t="str">
            <v>Check Name</v>
          </cell>
          <cell r="D1" t="str">
            <v>Check Type</v>
          </cell>
          <cell r="E1" t="str">
            <v>Validation conditions</v>
          </cell>
          <cell r="F1" t="str">
            <v>Message</v>
          </cell>
        </row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size of [Item name] is not bigger than [Size].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CK025/others</v>
          </cell>
          <cell r="B26" t="str">
            <v>CK025</v>
          </cell>
          <cell r="C26" t="str">
            <v>Others</v>
          </cell>
          <cell r="D26"/>
          <cell r="E26"/>
          <cell r="F26" t="str">
            <v>Stated in the remarks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6" sqref="P16:BB16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95" t="s">
        <v>1</v>
      </c>
      <c r="G2" s="96"/>
      <c r="H2" s="96"/>
      <c r="I2" s="96"/>
      <c r="J2" s="96"/>
      <c r="K2" s="96"/>
      <c r="L2" s="96"/>
      <c r="M2" s="97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95" t="s">
        <v>3</v>
      </c>
      <c r="G3" s="96"/>
      <c r="H3" s="96"/>
      <c r="I3" s="96"/>
      <c r="J3" s="96"/>
      <c r="K3" s="96"/>
      <c r="L3" s="96"/>
      <c r="M3" s="97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6">
        <f>Header!AV3</f>
        <v>45840</v>
      </c>
      <c r="AW3" s="117"/>
      <c r="AX3" s="117"/>
      <c r="AY3" s="117"/>
      <c r="AZ3" s="117"/>
      <c r="BA3" s="117"/>
      <c r="BB3" s="117"/>
      <c r="BC3" s="117"/>
      <c r="BD3" s="117"/>
      <c r="BE3" s="117"/>
      <c r="BF3" s="118"/>
    </row>
    <row r="4" spans="1:58" ht="15.6" customHeight="1">
      <c r="A4" s="1"/>
      <c r="B4" s="2"/>
      <c r="C4" s="2"/>
      <c r="D4" s="2"/>
      <c r="E4" s="2"/>
      <c r="F4" s="95" t="s">
        <v>5</v>
      </c>
      <c r="G4" s="96"/>
      <c r="H4" s="96"/>
      <c r="I4" s="96"/>
      <c r="J4" s="96"/>
      <c r="K4" s="96"/>
      <c r="L4" s="96"/>
      <c r="M4" s="97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9">
        <f>Header!AV4</f>
        <v>0.1</v>
      </c>
      <c r="AW4" s="120"/>
      <c r="AX4" s="120"/>
      <c r="AY4" s="120"/>
      <c r="AZ4" s="120"/>
      <c r="BA4" s="120"/>
      <c r="BB4" s="120"/>
      <c r="BC4" s="120"/>
      <c r="BD4" s="120"/>
      <c r="BE4" s="120"/>
      <c r="BF4" s="121"/>
    </row>
    <row r="5" spans="1:58" ht="15.6" customHeight="1">
      <c r="A5" s="1"/>
      <c r="B5" s="2"/>
      <c r="C5" s="2"/>
      <c r="D5" s="2"/>
      <c r="E5" s="2"/>
      <c r="F5" s="95" t="s">
        <v>7</v>
      </c>
      <c r="G5" s="96"/>
      <c r="H5" s="96"/>
      <c r="I5" s="96"/>
      <c r="J5" s="96"/>
      <c r="K5" s="96"/>
      <c r="L5" s="96"/>
      <c r="M5" s="9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95" t="s">
        <v>9</v>
      </c>
      <c r="G6" s="96"/>
      <c r="H6" s="96"/>
      <c r="I6" s="96"/>
      <c r="J6" s="96"/>
      <c r="K6" s="96"/>
      <c r="L6" s="96"/>
      <c r="M6" s="97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6">
        <f>Header!AV6</f>
        <v>45840</v>
      </c>
      <c r="AW6" s="117"/>
      <c r="AX6" s="117"/>
      <c r="AY6" s="117"/>
      <c r="AZ6" s="117"/>
      <c r="BA6" s="117"/>
      <c r="BB6" s="117"/>
      <c r="BC6" s="117"/>
      <c r="BD6" s="117"/>
      <c r="BE6" s="117"/>
      <c r="BF6" s="118"/>
    </row>
    <row r="7" spans="1:58" ht="15.6" customHeight="1">
      <c r="A7" s="1"/>
      <c r="B7" s="3" t="s">
        <v>11</v>
      </c>
      <c r="C7" s="4"/>
      <c r="D7" s="4"/>
      <c r="E7" s="4"/>
      <c r="F7" s="95" t="s">
        <v>12</v>
      </c>
      <c r="G7" s="96"/>
      <c r="H7" s="96"/>
      <c r="I7" s="96"/>
      <c r="J7" s="96"/>
      <c r="K7" s="96"/>
      <c r="L7" s="96"/>
      <c r="M7" s="9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95" t="s">
        <v>13</v>
      </c>
      <c r="G8" s="96"/>
      <c r="H8" s="96"/>
      <c r="I8" s="96"/>
      <c r="J8" s="96"/>
      <c r="K8" s="96"/>
      <c r="L8" s="96"/>
      <c r="M8" s="97"/>
      <c r="N8" s="10" t="str">
        <f>Header!N8</f>
        <v>Create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98" t="s">
        <v>14</v>
      </c>
      <c r="G9" s="99"/>
      <c r="H9" s="99"/>
      <c r="I9" s="99"/>
      <c r="J9" s="99"/>
      <c r="K9" s="99"/>
      <c r="L9" s="99"/>
      <c r="M9" s="100"/>
      <c r="N9" s="110" t="str">
        <f>Header!N9</f>
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</c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2"/>
    </row>
    <row r="10" spans="1:58" ht="15" customHeight="1">
      <c r="A10" s="1"/>
      <c r="B10" s="7"/>
      <c r="C10" s="8"/>
      <c r="D10" s="8"/>
      <c r="E10" s="8"/>
      <c r="F10" s="101"/>
      <c r="G10" s="102"/>
      <c r="H10" s="102"/>
      <c r="I10" s="102"/>
      <c r="J10" s="102"/>
      <c r="K10" s="102"/>
      <c r="L10" s="102"/>
      <c r="M10" s="103"/>
      <c r="N10" s="113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5"/>
    </row>
    <row r="11" spans="1:58">
      <c r="A11" s="1"/>
      <c r="B11" s="41"/>
      <c r="C11" s="41"/>
      <c r="D11" s="41"/>
      <c r="E11" s="41"/>
      <c r="F11" s="42"/>
      <c r="G11" s="42"/>
      <c r="H11" s="42"/>
      <c r="I11" s="42"/>
      <c r="J11" s="42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1"/>
      <c r="Z11" s="41"/>
      <c r="AA11" s="41"/>
      <c r="AB11" s="41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04" t="s">
        <v>15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6"/>
    </row>
    <row r="13" spans="1:58" ht="15.6" customHeight="1">
      <c r="A13" s="9"/>
      <c r="B13" s="107" t="s">
        <v>16</v>
      </c>
      <c r="C13" s="108"/>
      <c r="D13" s="108"/>
      <c r="E13" s="109"/>
      <c r="F13" s="107" t="s">
        <v>17</v>
      </c>
      <c r="G13" s="108"/>
      <c r="H13" s="109"/>
      <c r="I13" s="107" t="s">
        <v>18</v>
      </c>
      <c r="J13" s="108"/>
      <c r="K13" s="108"/>
      <c r="L13" s="108"/>
      <c r="M13" s="108"/>
      <c r="N13" s="108"/>
      <c r="O13" s="109"/>
      <c r="P13" s="107" t="s">
        <v>19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9"/>
      <c r="BC13" s="107" t="s">
        <v>20</v>
      </c>
      <c r="BD13" s="108"/>
      <c r="BE13" s="108"/>
      <c r="BF13" s="109"/>
    </row>
    <row r="14" spans="1:58" ht="15.6" customHeight="1">
      <c r="A14" s="9"/>
      <c r="B14" s="86">
        <v>45810</v>
      </c>
      <c r="C14" s="87"/>
      <c r="D14" s="87"/>
      <c r="E14" s="88"/>
      <c r="F14" s="71">
        <v>0.1</v>
      </c>
      <c r="G14" s="72"/>
      <c r="H14" s="73"/>
      <c r="I14" s="89" t="s">
        <v>145</v>
      </c>
      <c r="J14" s="90"/>
      <c r="K14" s="90"/>
      <c r="L14" s="90"/>
      <c r="M14" s="90"/>
      <c r="N14" s="90"/>
      <c r="O14" s="91"/>
      <c r="P14" s="68" t="s">
        <v>146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5"/>
      <c r="BC14" s="92" t="s">
        <v>85</v>
      </c>
      <c r="BD14" s="93"/>
      <c r="BE14" s="93"/>
      <c r="BF14" s="94"/>
    </row>
    <row r="15" spans="1:58">
      <c r="A15" s="9"/>
      <c r="B15" s="86"/>
      <c r="C15" s="87"/>
      <c r="D15" s="87"/>
      <c r="E15" s="88"/>
      <c r="F15" s="71"/>
      <c r="G15" s="72"/>
      <c r="H15" s="73"/>
      <c r="I15" s="80"/>
      <c r="J15" s="81"/>
      <c r="K15" s="81"/>
      <c r="L15" s="81"/>
      <c r="M15" s="81"/>
      <c r="N15" s="81"/>
      <c r="O15" s="82"/>
      <c r="P15" s="83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5"/>
      <c r="BC15" s="92"/>
      <c r="BD15" s="93"/>
      <c r="BE15" s="93"/>
      <c r="BF15" s="94"/>
    </row>
    <row r="16" spans="1:58">
      <c r="A16" s="9"/>
      <c r="B16" s="86"/>
      <c r="C16" s="87"/>
      <c r="D16" s="87"/>
      <c r="E16" s="88"/>
      <c r="F16" s="71"/>
      <c r="G16" s="72"/>
      <c r="H16" s="73"/>
      <c r="I16" s="80"/>
      <c r="J16" s="81"/>
      <c r="K16" s="81"/>
      <c r="L16" s="81"/>
      <c r="M16" s="81"/>
      <c r="N16" s="81"/>
      <c r="O16" s="82"/>
      <c r="P16" s="83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5"/>
      <c r="BC16" s="80"/>
      <c r="BD16" s="81"/>
      <c r="BE16" s="81"/>
      <c r="BF16" s="82"/>
    </row>
    <row r="17" spans="1:58">
      <c r="A17" s="9"/>
      <c r="B17" s="86"/>
      <c r="C17" s="87"/>
      <c r="D17" s="87"/>
      <c r="E17" s="88"/>
      <c r="F17" s="71"/>
      <c r="G17" s="72"/>
      <c r="H17" s="73"/>
      <c r="I17" s="80"/>
      <c r="J17" s="81"/>
      <c r="K17" s="81"/>
      <c r="L17" s="81"/>
      <c r="M17" s="81"/>
      <c r="N17" s="81"/>
      <c r="O17" s="82"/>
      <c r="P17" s="83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5"/>
      <c r="BC17" s="80"/>
      <c r="BD17" s="81"/>
      <c r="BE17" s="81"/>
      <c r="BF17" s="82"/>
    </row>
    <row r="18" spans="1:58">
      <c r="A18" s="9"/>
      <c r="B18" s="86"/>
      <c r="C18" s="87"/>
      <c r="D18" s="87"/>
      <c r="E18" s="88"/>
      <c r="F18" s="71"/>
      <c r="G18" s="72"/>
      <c r="H18" s="73"/>
      <c r="I18" s="80"/>
      <c r="J18" s="81"/>
      <c r="K18" s="81"/>
      <c r="L18" s="81"/>
      <c r="M18" s="81"/>
      <c r="N18" s="81"/>
      <c r="O18" s="82"/>
      <c r="P18" s="83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5"/>
      <c r="BC18" s="80"/>
      <c r="BD18" s="81"/>
      <c r="BE18" s="81"/>
      <c r="BF18" s="82"/>
    </row>
    <row r="19" spans="1:58">
      <c r="A19" s="9"/>
      <c r="B19" s="74"/>
      <c r="C19" s="75"/>
      <c r="D19" s="75"/>
      <c r="E19" s="76"/>
      <c r="F19" s="77"/>
      <c r="G19" s="78"/>
      <c r="H19" s="79"/>
      <c r="I19" s="80"/>
      <c r="J19" s="81"/>
      <c r="K19" s="81"/>
      <c r="L19" s="81"/>
      <c r="M19" s="81"/>
      <c r="N19" s="81"/>
      <c r="O19" s="82"/>
      <c r="P19" s="83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5"/>
      <c r="BC19" s="80"/>
      <c r="BD19" s="81"/>
      <c r="BE19" s="81"/>
      <c r="BF19" s="82"/>
    </row>
    <row r="20" spans="1:58">
      <c r="A20" s="9"/>
      <c r="B20" s="74"/>
      <c r="C20" s="75"/>
      <c r="D20" s="75"/>
      <c r="E20" s="76"/>
      <c r="F20" s="77"/>
      <c r="G20" s="78"/>
      <c r="H20" s="79"/>
      <c r="I20" s="80"/>
      <c r="J20" s="81"/>
      <c r="K20" s="81"/>
      <c r="L20" s="81"/>
      <c r="M20" s="81"/>
      <c r="N20" s="81"/>
      <c r="O20" s="82"/>
      <c r="P20" s="83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5"/>
      <c r="BC20" s="80"/>
      <c r="BD20" s="81"/>
      <c r="BE20" s="81"/>
      <c r="BF20" s="82"/>
    </row>
    <row r="21" spans="1:58" ht="15.75" customHeight="1">
      <c r="A21" s="9"/>
      <c r="B21" s="74"/>
      <c r="C21" s="75"/>
      <c r="D21" s="75"/>
      <c r="E21" s="76"/>
      <c r="F21" s="77"/>
      <c r="G21" s="78"/>
      <c r="H21" s="79"/>
      <c r="I21" s="80"/>
      <c r="J21" s="81"/>
      <c r="K21" s="81"/>
      <c r="L21" s="81"/>
      <c r="M21" s="81"/>
      <c r="N21" s="81"/>
      <c r="O21" s="82"/>
      <c r="P21" s="83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5"/>
      <c r="BC21" s="80"/>
      <c r="BD21" s="81"/>
      <c r="BE21" s="81"/>
      <c r="BF21" s="82"/>
    </row>
    <row r="22" spans="1:58" ht="15.75" customHeight="1">
      <c r="A22" s="9"/>
      <c r="B22" s="74"/>
      <c r="C22" s="75"/>
      <c r="D22" s="75"/>
      <c r="E22" s="76"/>
      <c r="F22" s="77"/>
      <c r="G22" s="78"/>
      <c r="H22" s="79"/>
      <c r="I22" s="80"/>
      <c r="J22" s="81"/>
      <c r="K22" s="81"/>
      <c r="L22" s="81"/>
      <c r="M22" s="81"/>
      <c r="N22" s="81"/>
      <c r="O22" s="82"/>
      <c r="P22" s="68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70"/>
      <c r="BC22" s="80"/>
      <c r="BD22" s="81"/>
      <c r="BE22" s="81"/>
      <c r="BF22" s="82"/>
    </row>
    <row r="23" spans="1:58" ht="15.75" customHeight="1">
      <c r="A23" s="9"/>
      <c r="B23" s="74"/>
      <c r="C23" s="75"/>
      <c r="D23" s="75"/>
      <c r="E23" s="76"/>
      <c r="F23" s="77"/>
      <c r="G23" s="78"/>
      <c r="H23" s="79"/>
      <c r="I23" s="80"/>
      <c r="J23" s="81"/>
      <c r="K23" s="81"/>
      <c r="L23" s="81"/>
      <c r="M23" s="81"/>
      <c r="N23" s="81"/>
      <c r="O23" s="82"/>
      <c r="P23" s="68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70"/>
      <c r="BC23" s="80"/>
      <c r="BD23" s="81"/>
      <c r="BE23" s="81"/>
      <c r="BF23" s="82"/>
    </row>
    <row r="24" spans="1:58" ht="15.75" customHeight="1">
      <c r="A24" s="9"/>
      <c r="B24" s="62"/>
      <c r="C24" s="63"/>
      <c r="D24" s="63"/>
      <c r="E24" s="64"/>
      <c r="F24" s="71"/>
      <c r="G24" s="72"/>
      <c r="H24" s="73"/>
      <c r="I24" s="65"/>
      <c r="J24" s="66"/>
      <c r="K24" s="66"/>
      <c r="L24" s="66"/>
      <c r="M24" s="66"/>
      <c r="N24" s="66"/>
      <c r="O24" s="67"/>
      <c r="P24" s="68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70"/>
      <c r="BC24" s="65"/>
      <c r="BD24" s="66"/>
      <c r="BE24" s="66"/>
      <c r="BF24" s="67"/>
    </row>
    <row r="25" spans="1:58" ht="15.75" customHeight="1">
      <c r="A25" s="9"/>
      <c r="B25" s="62"/>
      <c r="C25" s="63"/>
      <c r="D25" s="63"/>
      <c r="E25" s="64"/>
      <c r="F25" s="71"/>
      <c r="G25" s="72"/>
      <c r="H25" s="73"/>
      <c r="I25" s="65"/>
      <c r="J25" s="66"/>
      <c r="K25" s="66"/>
      <c r="L25" s="66"/>
      <c r="M25" s="66"/>
      <c r="N25" s="66"/>
      <c r="O25" s="67"/>
      <c r="P25" s="68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70"/>
      <c r="BC25" s="65"/>
      <c r="BD25" s="66"/>
      <c r="BE25" s="66"/>
      <c r="BF25" s="67"/>
    </row>
    <row r="26" spans="1:58" ht="15.75" customHeight="1">
      <c r="A26" s="9"/>
      <c r="B26" s="62"/>
      <c r="C26" s="63"/>
      <c r="D26" s="63"/>
      <c r="E26" s="64"/>
      <c r="F26" s="71"/>
      <c r="G26" s="72"/>
      <c r="H26" s="73"/>
      <c r="I26" s="65"/>
      <c r="J26" s="66"/>
      <c r="K26" s="66"/>
      <c r="L26" s="66"/>
      <c r="M26" s="66"/>
      <c r="N26" s="66"/>
      <c r="O26" s="67"/>
      <c r="P26" s="68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70"/>
      <c r="BC26" s="65"/>
      <c r="BD26" s="66"/>
      <c r="BE26" s="66"/>
      <c r="BF26" s="67"/>
    </row>
    <row r="27" spans="1:58" ht="15.75" customHeight="1">
      <c r="A27" s="9"/>
      <c r="B27" s="62"/>
      <c r="C27" s="63"/>
      <c r="D27" s="63"/>
      <c r="E27" s="64"/>
      <c r="F27" s="71"/>
      <c r="G27" s="72"/>
      <c r="H27" s="73"/>
      <c r="I27" s="65"/>
      <c r="J27" s="66"/>
      <c r="K27" s="66"/>
      <c r="L27" s="66"/>
      <c r="M27" s="66"/>
      <c r="N27" s="66"/>
      <c r="O27" s="67"/>
      <c r="P27" s="68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70"/>
      <c r="BC27" s="65"/>
      <c r="BD27" s="66"/>
      <c r="BE27" s="66"/>
      <c r="BF27" s="67"/>
    </row>
    <row r="28" spans="1:58" ht="15.75" customHeight="1">
      <c r="A28" s="9"/>
      <c r="B28" s="62"/>
      <c r="C28" s="63"/>
      <c r="D28" s="63"/>
      <c r="E28" s="64"/>
      <c r="F28" s="71"/>
      <c r="G28" s="72"/>
      <c r="H28" s="73"/>
      <c r="I28" s="65"/>
      <c r="J28" s="66"/>
      <c r="K28" s="66"/>
      <c r="L28" s="66"/>
      <c r="M28" s="66"/>
      <c r="N28" s="66"/>
      <c r="O28" s="67"/>
      <c r="P28" s="68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70"/>
      <c r="BC28" s="65"/>
      <c r="BD28" s="66"/>
      <c r="BE28" s="66"/>
      <c r="BF28" s="67"/>
    </row>
    <row r="29" spans="1:58" ht="15.75" customHeight="1">
      <c r="A29" s="9"/>
      <c r="B29" s="62"/>
      <c r="C29" s="63"/>
      <c r="D29" s="63"/>
      <c r="E29" s="64"/>
      <c r="F29" s="71"/>
      <c r="G29" s="72"/>
      <c r="H29" s="73"/>
      <c r="I29" s="65"/>
      <c r="J29" s="66"/>
      <c r="K29" s="66"/>
      <c r="L29" s="66"/>
      <c r="M29" s="66"/>
      <c r="N29" s="66"/>
      <c r="O29" s="67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70"/>
      <c r="BC29" s="65"/>
      <c r="BD29" s="66"/>
      <c r="BE29" s="66"/>
      <c r="BF29" s="67"/>
    </row>
    <row r="30" spans="1:58" ht="15.75" customHeight="1">
      <c r="A30" s="9"/>
      <c r="B30" s="62"/>
      <c r="C30" s="63"/>
      <c r="D30" s="63"/>
      <c r="E30" s="64"/>
      <c r="F30" s="71"/>
      <c r="G30" s="72"/>
      <c r="H30" s="73"/>
      <c r="I30" s="65"/>
      <c r="J30" s="66"/>
      <c r="K30" s="66"/>
      <c r="L30" s="66"/>
      <c r="M30" s="66"/>
      <c r="N30" s="66"/>
      <c r="O30" s="67"/>
      <c r="P30" s="68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70"/>
      <c r="BC30" s="65"/>
      <c r="BD30" s="66"/>
      <c r="BE30" s="66"/>
      <c r="BF30" s="67"/>
    </row>
    <row r="31" spans="1:58" ht="15.75" customHeight="1">
      <c r="A31" s="1"/>
      <c r="B31" s="62"/>
      <c r="C31" s="63"/>
      <c r="D31" s="63"/>
      <c r="E31" s="64"/>
      <c r="F31" s="71"/>
      <c r="G31" s="72"/>
      <c r="H31" s="73"/>
      <c r="I31" s="65"/>
      <c r="J31" s="66"/>
      <c r="K31" s="66"/>
      <c r="L31" s="66"/>
      <c r="M31" s="66"/>
      <c r="N31" s="66"/>
      <c r="O31" s="67"/>
      <c r="P31" s="68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70"/>
      <c r="BC31" s="65"/>
      <c r="BD31" s="66"/>
      <c r="BE31" s="66"/>
      <c r="BF31" s="67"/>
    </row>
    <row r="32" spans="1:58" ht="15.75" customHeight="1">
      <c r="A32" s="1"/>
      <c r="B32" s="62"/>
      <c r="C32" s="63"/>
      <c r="D32" s="63"/>
      <c r="E32" s="64"/>
      <c r="F32" s="71"/>
      <c r="G32" s="72"/>
      <c r="H32" s="73"/>
      <c r="I32" s="65"/>
      <c r="J32" s="66"/>
      <c r="K32" s="66"/>
      <c r="L32" s="66"/>
      <c r="M32" s="66"/>
      <c r="N32" s="66"/>
      <c r="O32" s="67"/>
      <c r="P32" s="68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70"/>
      <c r="BC32" s="65"/>
      <c r="BD32" s="66"/>
      <c r="BE32" s="66"/>
      <c r="BF32" s="67"/>
    </row>
    <row r="33" spans="1:58" ht="15.75" customHeight="1">
      <c r="A33" s="1"/>
      <c r="B33" s="62"/>
      <c r="C33" s="63"/>
      <c r="D33" s="63"/>
      <c r="E33" s="64"/>
      <c r="F33" s="71"/>
      <c r="G33" s="72"/>
      <c r="H33" s="73"/>
      <c r="I33" s="65"/>
      <c r="J33" s="66"/>
      <c r="K33" s="66"/>
      <c r="L33" s="66"/>
      <c r="M33" s="66"/>
      <c r="N33" s="66"/>
      <c r="O33" s="67"/>
      <c r="P33" s="68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  <c r="BC33" s="65"/>
      <c r="BD33" s="66"/>
      <c r="BE33" s="66"/>
      <c r="BF33" s="67"/>
    </row>
    <row r="34" spans="1:58" ht="15.75" customHeight="1">
      <c r="A34" s="1"/>
      <c r="B34" s="62"/>
      <c r="C34" s="63"/>
      <c r="D34" s="63"/>
      <c r="E34" s="64"/>
      <c r="F34" s="71"/>
      <c r="G34" s="72"/>
      <c r="H34" s="73"/>
      <c r="I34" s="65"/>
      <c r="J34" s="66"/>
      <c r="K34" s="66"/>
      <c r="L34" s="66"/>
      <c r="M34" s="66"/>
      <c r="N34" s="66"/>
      <c r="O34" s="67"/>
      <c r="P34" s="68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  <c r="BC34" s="65"/>
      <c r="BD34" s="66"/>
      <c r="BE34" s="66"/>
      <c r="BF34" s="67"/>
    </row>
    <row r="35" spans="1:58" ht="15.75" customHeight="1">
      <c r="A35" s="1"/>
      <c r="B35" s="62"/>
      <c r="C35" s="63"/>
      <c r="D35" s="63"/>
      <c r="E35" s="64"/>
      <c r="F35" s="71"/>
      <c r="G35" s="72"/>
      <c r="H35" s="73"/>
      <c r="I35" s="65"/>
      <c r="J35" s="66"/>
      <c r="K35" s="66"/>
      <c r="L35" s="66"/>
      <c r="M35" s="66"/>
      <c r="N35" s="66"/>
      <c r="O35" s="67"/>
      <c r="P35" s="68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  <c r="BC35" s="65"/>
      <c r="BD35" s="66"/>
      <c r="BE35" s="66"/>
      <c r="BF35" s="67"/>
    </row>
    <row r="36" spans="1:58" ht="15.75" customHeight="1">
      <c r="A36" s="1"/>
      <c r="B36" s="62"/>
      <c r="C36" s="63"/>
      <c r="D36" s="63"/>
      <c r="E36" s="64"/>
      <c r="F36" s="71"/>
      <c r="G36" s="72"/>
      <c r="H36" s="73"/>
      <c r="I36" s="65"/>
      <c r="J36" s="66"/>
      <c r="K36" s="66"/>
      <c r="L36" s="66"/>
      <c r="M36" s="66"/>
      <c r="N36" s="66"/>
      <c r="O36" s="67"/>
      <c r="P36" s="68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  <c r="BC36" s="65"/>
      <c r="BD36" s="66"/>
      <c r="BE36" s="66"/>
      <c r="BF36" s="67"/>
    </row>
    <row r="37" spans="1:58" ht="15.75" customHeight="1">
      <c r="A37" s="1"/>
      <c r="B37" s="62"/>
      <c r="C37" s="63"/>
      <c r="D37" s="63"/>
      <c r="E37" s="64"/>
      <c r="F37" s="71"/>
      <c r="G37" s="72"/>
      <c r="H37" s="73"/>
      <c r="I37" s="65"/>
      <c r="J37" s="66"/>
      <c r="K37" s="66"/>
      <c r="L37" s="66"/>
      <c r="M37" s="66"/>
      <c r="N37" s="66"/>
      <c r="O37" s="67"/>
      <c r="P37" s="68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70"/>
      <c r="BC37" s="65"/>
      <c r="BD37" s="66"/>
      <c r="BE37" s="66"/>
      <c r="BF37" s="67"/>
    </row>
    <row r="38" spans="1:58" ht="15.75" customHeight="1">
      <c r="A38" s="1"/>
      <c r="B38" s="62"/>
      <c r="C38" s="63"/>
      <c r="D38" s="63"/>
      <c r="E38" s="64"/>
      <c r="F38" s="71"/>
      <c r="G38" s="72"/>
      <c r="H38" s="73"/>
      <c r="I38" s="65"/>
      <c r="J38" s="66"/>
      <c r="K38" s="66"/>
      <c r="L38" s="66"/>
      <c r="M38" s="66"/>
      <c r="N38" s="66"/>
      <c r="O38" s="67"/>
      <c r="P38" s="68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70"/>
      <c r="BC38" s="65"/>
      <c r="BD38" s="66"/>
      <c r="BE38" s="66"/>
      <c r="BF38" s="67"/>
    </row>
    <row r="39" spans="1:58" ht="15.75" customHeight="1">
      <c r="A39" s="1"/>
      <c r="B39" s="62"/>
      <c r="C39" s="63"/>
      <c r="D39" s="63"/>
      <c r="E39" s="64"/>
      <c r="F39" s="71"/>
      <c r="G39" s="72"/>
      <c r="H39" s="73"/>
      <c r="I39" s="65"/>
      <c r="J39" s="66"/>
      <c r="K39" s="66"/>
      <c r="L39" s="66"/>
      <c r="M39" s="66"/>
      <c r="N39" s="66"/>
      <c r="O39" s="67"/>
      <c r="P39" s="68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70"/>
      <c r="BC39" s="65"/>
      <c r="BD39" s="66"/>
      <c r="BE39" s="66"/>
      <c r="BF39" s="67"/>
    </row>
    <row r="40" spans="1:58" ht="15.75" customHeight="1">
      <c r="A40" s="1"/>
      <c r="B40" s="62"/>
      <c r="C40" s="63"/>
      <c r="D40" s="63"/>
      <c r="E40" s="64"/>
      <c r="F40" s="71"/>
      <c r="G40" s="72"/>
      <c r="H40" s="73"/>
      <c r="I40" s="65"/>
      <c r="J40" s="66"/>
      <c r="K40" s="66"/>
      <c r="L40" s="66"/>
      <c r="M40" s="66"/>
      <c r="N40" s="66"/>
      <c r="O40" s="67"/>
      <c r="P40" s="68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70"/>
      <c r="BC40" s="65"/>
      <c r="BD40" s="66"/>
      <c r="BE40" s="66"/>
      <c r="BF40" s="67"/>
    </row>
    <row r="41" spans="1:58" ht="15.75" customHeight="1">
      <c r="A41" s="1"/>
      <c r="B41" s="62"/>
      <c r="C41" s="63"/>
      <c r="D41" s="63"/>
      <c r="E41" s="64"/>
      <c r="F41" s="71"/>
      <c r="G41" s="72"/>
      <c r="H41" s="73"/>
      <c r="I41" s="65"/>
      <c r="J41" s="66"/>
      <c r="K41" s="66"/>
      <c r="L41" s="66"/>
      <c r="M41" s="66"/>
      <c r="N41" s="66"/>
      <c r="O41" s="67"/>
      <c r="P41" s="68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70"/>
      <c r="BC41" s="65"/>
      <c r="BD41" s="66"/>
      <c r="BE41" s="66"/>
      <c r="BF41" s="67"/>
    </row>
    <row r="42" spans="1:58" ht="15.75" customHeight="1">
      <c r="A42" s="1"/>
      <c r="B42" s="62"/>
      <c r="C42" s="63"/>
      <c r="D42" s="63"/>
      <c r="E42" s="64"/>
      <c r="F42" s="71"/>
      <c r="G42" s="72"/>
      <c r="H42" s="73"/>
      <c r="I42" s="65"/>
      <c r="J42" s="66"/>
      <c r="K42" s="66"/>
      <c r="L42" s="66"/>
      <c r="M42" s="66"/>
      <c r="N42" s="66"/>
      <c r="O42" s="67"/>
      <c r="P42" s="68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70"/>
      <c r="BC42" s="65"/>
      <c r="BD42" s="66"/>
      <c r="BE42" s="66"/>
      <c r="BF42" s="67"/>
    </row>
    <row r="43" spans="1:58" ht="15.75" customHeight="1">
      <c r="A43" s="1"/>
      <c r="B43" s="62"/>
      <c r="C43" s="63"/>
      <c r="D43" s="63"/>
      <c r="E43" s="64"/>
      <c r="F43" s="71"/>
      <c r="G43" s="72"/>
      <c r="H43" s="73"/>
      <c r="I43" s="65"/>
      <c r="J43" s="66"/>
      <c r="K43" s="66"/>
      <c r="L43" s="66"/>
      <c r="M43" s="66"/>
      <c r="N43" s="66"/>
      <c r="O43" s="67"/>
      <c r="P43" s="68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70"/>
      <c r="BC43" s="65"/>
      <c r="BD43" s="66"/>
      <c r="BE43" s="66"/>
      <c r="BF43" s="67"/>
    </row>
    <row r="44" spans="1:58" ht="15.75" customHeight="1">
      <c r="A44" s="1"/>
      <c r="B44" s="62"/>
      <c r="C44" s="63"/>
      <c r="D44" s="63"/>
      <c r="E44" s="64"/>
      <c r="F44" s="71"/>
      <c r="G44" s="72"/>
      <c r="H44" s="73"/>
      <c r="I44" s="65"/>
      <c r="J44" s="66"/>
      <c r="K44" s="66"/>
      <c r="L44" s="66"/>
      <c r="M44" s="66"/>
      <c r="N44" s="66"/>
      <c r="O44" s="67"/>
      <c r="P44" s="68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70"/>
      <c r="BC44" s="65"/>
      <c r="BD44" s="66"/>
      <c r="BE44" s="66"/>
      <c r="BF44" s="67"/>
    </row>
    <row r="45" spans="1:58" ht="15.75" customHeight="1">
      <c r="A45" s="1"/>
      <c r="B45" s="62"/>
      <c r="C45" s="63"/>
      <c r="D45" s="63"/>
      <c r="E45" s="64"/>
      <c r="F45" s="65"/>
      <c r="G45" s="66"/>
      <c r="H45" s="67"/>
      <c r="I45" s="65"/>
      <c r="J45" s="66"/>
      <c r="K45" s="66"/>
      <c r="L45" s="66"/>
      <c r="M45" s="66"/>
      <c r="N45" s="66"/>
      <c r="O45" s="67"/>
      <c r="P45" s="68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70"/>
      <c r="BC45" s="65"/>
      <c r="BD45" s="66"/>
      <c r="BE45" s="66"/>
      <c r="BF45" s="67"/>
    </row>
    <row r="46" spans="1:58" ht="15.75" customHeight="1">
      <c r="A46" s="1"/>
      <c r="B46" s="62"/>
      <c r="C46" s="63"/>
      <c r="D46" s="63"/>
      <c r="E46" s="64"/>
      <c r="F46" s="65"/>
      <c r="G46" s="66"/>
      <c r="H46" s="67"/>
      <c r="I46" s="65"/>
      <c r="J46" s="66"/>
      <c r="K46" s="66"/>
      <c r="L46" s="66"/>
      <c r="M46" s="66"/>
      <c r="N46" s="66"/>
      <c r="O46" s="67"/>
      <c r="P46" s="68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70"/>
      <c r="BC46" s="65"/>
      <c r="BD46" s="66"/>
      <c r="BE46" s="66"/>
      <c r="BF46" s="67"/>
    </row>
    <row r="47" spans="1:58" ht="15.75" customHeight="1">
      <c r="A47" s="1"/>
      <c r="B47" s="62"/>
      <c r="C47" s="63"/>
      <c r="D47" s="63"/>
      <c r="E47" s="64"/>
      <c r="F47" s="65"/>
      <c r="G47" s="66"/>
      <c r="H47" s="67"/>
      <c r="I47" s="65"/>
      <c r="J47" s="66"/>
      <c r="K47" s="66"/>
      <c r="L47" s="66"/>
      <c r="M47" s="66"/>
      <c r="N47" s="66"/>
      <c r="O47" s="67"/>
      <c r="P47" s="68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70"/>
      <c r="BC47" s="65"/>
      <c r="BD47" s="66"/>
      <c r="BE47" s="66"/>
      <c r="BF47" s="67"/>
    </row>
    <row r="48" spans="1:58" ht="15.75" customHeight="1">
      <c r="A48" s="1"/>
      <c r="B48" s="62"/>
      <c r="C48" s="63"/>
      <c r="D48" s="63"/>
      <c r="E48" s="64"/>
      <c r="F48" s="65"/>
      <c r="G48" s="66"/>
      <c r="H48" s="67"/>
      <c r="I48" s="65"/>
      <c r="J48" s="66"/>
      <c r="K48" s="66"/>
      <c r="L48" s="66"/>
      <c r="M48" s="66"/>
      <c r="N48" s="66"/>
      <c r="O48" s="67"/>
      <c r="P48" s="68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70"/>
      <c r="BC48" s="65"/>
      <c r="BD48" s="66"/>
      <c r="BE48" s="66"/>
      <c r="BF48" s="67"/>
    </row>
    <row r="49" spans="1:58" ht="15.75" customHeight="1">
      <c r="A49" s="1"/>
      <c r="B49" s="62"/>
      <c r="C49" s="63"/>
      <c r="D49" s="63"/>
      <c r="E49" s="64"/>
      <c r="F49" s="65"/>
      <c r="G49" s="66"/>
      <c r="H49" s="67"/>
      <c r="I49" s="65"/>
      <c r="J49" s="66"/>
      <c r="K49" s="66"/>
      <c r="L49" s="66"/>
      <c r="M49" s="66"/>
      <c r="N49" s="66"/>
      <c r="O49" s="67"/>
      <c r="P49" s="68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70"/>
      <c r="BC49" s="65"/>
      <c r="BD49" s="66"/>
      <c r="BE49" s="66"/>
      <c r="BF49" s="67"/>
    </row>
    <row r="50" spans="1:58" ht="15.75" customHeight="1">
      <c r="A50" s="1"/>
      <c r="B50" s="62"/>
      <c r="C50" s="63"/>
      <c r="D50" s="63"/>
      <c r="E50" s="64"/>
      <c r="F50" s="65"/>
      <c r="G50" s="66"/>
      <c r="H50" s="67"/>
      <c r="I50" s="65"/>
      <c r="J50" s="66"/>
      <c r="K50" s="66"/>
      <c r="L50" s="66"/>
      <c r="M50" s="66"/>
      <c r="N50" s="66"/>
      <c r="O50" s="67"/>
      <c r="P50" s="68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70"/>
      <c r="BC50" s="65"/>
      <c r="BD50" s="66"/>
      <c r="BE50" s="66"/>
      <c r="BF50" s="67"/>
    </row>
    <row r="51" spans="1:58" ht="15.75" customHeight="1">
      <c r="A51" s="1"/>
      <c r="B51" s="62"/>
      <c r="C51" s="63"/>
      <c r="D51" s="63"/>
      <c r="E51" s="64"/>
      <c r="F51" s="65"/>
      <c r="G51" s="66"/>
      <c r="H51" s="67"/>
      <c r="I51" s="65"/>
      <c r="J51" s="66"/>
      <c r="K51" s="66"/>
      <c r="L51" s="66"/>
      <c r="M51" s="66"/>
      <c r="N51" s="66"/>
      <c r="O51" s="67"/>
      <c r="P51" s="68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70"/>
      <c r="BC51" s="65"/>
      <c r="BD51" s="66"/>
      <c r="BE51" s="66"/>
      <c r="BF51" s="67"/>
    </row>
    <row r="52" spans="1:58" ht="15.75" customHeight="1">
      <c r="A52" s="1"/>
      <c r="B52" s="62"/>
      <c r="C52" s="63"/>
      <c r="D52" s="63"/>
      <c r="E52" s="64"/>
      <c r="F52" s="65"/>
      <c r="G52" s="66"/>
      <c r="H52" s="67"/>
      <c r="I52" s="65"/>
      <c r="J52" s="66"/>
      <c r="K52" s="66"/>
      <c r="L52" s="66"/>
      <c r="M52" s="66"/>
      <c r="N52" s="66"/>
      <c r="O52" s="67"/>
      <c r="P52" s="68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70"/>
      <c r="BC52" s="65"/>
      <c r="BD52" s="66"/>
      <c r="BE52" s="66"/>
      <c r="BF52" s="67"/>
    </row>
    <row r="53" spans="1:58" ht="15.75" customHeight="1">
      <c r="A53" s="1"/>
      <c r="B53" s="62"/>
      <c r="C53" s="63"/>
      <c r="D53" s="63"/>
      <c r="E53" s="64"/>
      <c r="F53" s="65"/>
      <c r="G53" s="66"/>
      <c r="H53" s="67"/>
      <c r="I53" s="65"/>
      <c r="J53" s="66"/>
      <c r="K53" s="66"/>
      <c r="L53" s="66"/>
      <c r="M53" s="66"/>
      <c r="N53" s="66"/>
      <c r="O53" s="67"/>
      <c r="P53" s="68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70"/>
      <c r="BC53" s="65"/>
      <c r="BD53" s="66"/>
      <c r="BE53" s="66"/>
      <c r="BF53" s="67"/>
    </row>
    <row r="54" spans="1:58" ht="15.75" customHeight="1">
      <c r="A54" s="1"/>
      <c r="B54" s="62"/>
      <c r="C54" s="63"/>
      <c r="D54" s="63"/>
      <c r="E54" s="64"/>
      <c r="F54" s="65"/>
      <c r="G54" s="66"/>
      <c r="H54" s="67"/>
      <c r="I54" s="65"/>
      <c r="J54" s="66"/>
      <c r="K54" s="66"/>
      <c r="L54" s="66"/>
      <c r="M54" s="66"/>
      <c r="N54" s="66"/>
      <c r="O54" s="67"/>
      <c r="P54" s="68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70"/>
      <c r="BC54" s="65"/>
      <c r="BD54" s="66"/>
      <c r="BE54" s="66"/>
      <c r="BF54" s="67"/>
    </row>
    <row r="55" spans="1:58" ht="15.75" customHeight="1">
      <c r="A55" s="1"/>
      <c r="B55" s="62"/>
      <c r="C55" s="63"/>
      <c r="D55" s="63"/>
      <c r="E55" s="64"/>
      <c r="F55" s="65"/>
      <c r="G55" s="66"/>
      <c r="H55" s="67"/>
      <c r="I55" s="65"/>
      <c r="J55" s="66"/>
      <c r="K55" s="66"/>
      <c r="L55" s="66"/>
      <c r="M55" s="66"/>
      <c r="N55" s="66"/>
      <c r="O55" s="67"/>
      <c r="P55" s="68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70"/>
      <c r="BC55" s="65"/>
      <c r="BD55" s="66"/>
      <c r="BE55" s="66"/>
      <c r="BF55" s="67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8"/>
  <sheetViews>
    <sheetView workbookViewId="0">
      <selection activeCell="AD28" sqref="AD28:AI28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5" t="s">
        <v>1</v>
      </c>
      <c r="G2" s="141"/>
      <c r="H2" s="141"/>
      <c r="I2" s="141"/>
      <c r="J2" s="141"/>
      <c r="K2" s="141"/>
      <c r="L2" s="141"/>
      <c r="M2" s="137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5" t="s">
        <v>3</v>
      </c>
      <c r="G3" s="141"/>
      <c r="H3" s="141"/>
      <c r="I3" s="141"/>
      <c r="J3" s="141"/>
      <c r="K3" s="141"/>
      <c r="L3" s="141"/>
      <c r="M3" s="137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6">
        <f>Header!AV3</f>
        <v>45840</v>
      </c>
      <c r="AW3" s="117"/>
      <c r="AX3" s="117"/>
      <c r="AY3" s="117"/>
      <c r="AZ3" s="117"/>
      <c r="BA3" s="117"/>
      <c r="BB3" s="117"/>
      <c r="BC3" s="117"/>
      <c r="BD3" s="117"/>
      <c r="BE3" s="117"/>
      <c r="BF3" s="118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5" t="s">
        <v>5</v>
      </c>
      <c r="G4" s="141"/>
      <c r="H4" s="141"/>
      <c r="I4" s="141"/>
      <c r="J4" s="141"/>
      <c r="K4" s="141"/>
      <c r="L4" s="141"/>
      <c r="M4" s="137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9">
        <f>Header!AV4</f>
        <v>0.1</v>
      </c>
      <c r="AW4" s="120"/>
      <c r="AX4" s="120"/>
      <c r="AY4" s="120"/>
      <c r="AZ4" s="120"/>
      <c r="BA4" s="120"/>
      <c r="BB4" s="120"/>
      <c r="BC4" s="120"/>
      <c r="BD4" s="120"/>
      <c r="BE4" s="120"/>
      <c r="BF4" s="121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5" t="s">
        <v>7</v>
      </c>
      <c r="G5" s="141"/>
      <c r="H5" s="141"/>
      <c r="I5" s="141"/>
      <c r="J5" s="141"/>
      <c r="K5" s="141"/>
      <c r="L5" s="141"/>
      <c r="M5" s="13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5" t="s">
        <v>9</v>
      </c>
      <c r="G6" s="141"/>
      <c r="H6" s="141"/>
      <c r="I6" s="141"/>
      <c r="J6" s="141"/>
      <c r="K6" s="141"/>
      <c r="L6" s="141"/>
      <c r="M6" s="137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6">
        <f>Header!AV6</f>
        <v>45840</v>
      </c>
      <c r="AW6" s="117"/>
      <c r="AX6" s="117"/>
      <c r="AY6" s="117"/>
      <c r="AZ6" s="117"/>
      <c r="BA6" s="117"/>
      <c r="BB6" s="117"/>
      <c r="BC6" s="117"/>
      <c r="BD6" s="117"/>
      <c r="BE6" s="117"/>
      <c r="BF6" s="118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5" t="s">
        <v>12</v>
      </c>
      <c r="G7" s="141"/>
      <c r="H7" s="141"/>
      <c r="I7" s="141"/>
      <c r="J7" s="141"/>
      <c r="K7" s="141"/>
      <c r="L7" s="141"/>
      <c r="M7" s="13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5" t="s">
        <v>13</v>
      </c>
      <c r="G8" s="141"/>
      <c r="H8" s="141"/>
      <c r="I8" s="141"/>
      <c r="J8" s="141"/>
      <c r="K8" s="141"/>
      <c r="L8" s="141"/>
      <c r="M8" s="137"/>
      <c r="N8" s="10" t="str">
        <f>Header!N8</f>
        <v>Create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8" t="s">
        <v>14</v>
      </c>
      <c r="G9" s="134"/>
      <c r="H9" s="134"/>
      <c r="I9" s="134"/>
      <c r="J9" s="134"/>
      <c r="K9" s="134"/>
      <c r="L9" s="134"/>
      <c r="M9" s="135"/>
      <c r="N9" s="110" t="str">
        <f>Header!N9</f>
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</c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5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1"/>
      <c r="G10" s="155"/>
      <c r="H10" s="155"/>
      <c r="I10" s="155"/>
      <c r="J10" s="155"/>
      <c r="K10" s="155"/>
      <c r="L10" s="155"/>
      <c r="M10" s="156"/>
      <c r="N10" s="159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5"/>
      <c r="D12" s="1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8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9"/>
    </row>
    <row r="13" spans="1:65" ht="27.75" customHeight="1">
      <c r="A13" s="1"/>
      <c r="B13" s="157" t="s">
        <v>22</v>
      </c>
      <c r="C13" s="137"/>
      <c r="D13" s="157" t="s">
        <v>23</v>
      </c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37"/>
      <c r="R13" s="158" t="s">
        <v>24</v>
      </c>
      <c r="S13" s="137"/>
      <c r="T13" s="157" t="s">
        <v>25</v>
      </c>
      <c r="U13" s="141"/>
      <c r="V13" s="141"/>
      <c r="W13" s="137"/>
      <c r="X13" s="157" t="s">
        <v>26</v>
      </c>
      <c r="Y13" s="137"/>
      <c r="Z13" s="157" t="s">
        <v>27</v>
      </c>
      <c r="AA13" s="141"/>
      <c r="AB13" s="141"/>
      <c r="AC13" s="137"/>
      <c r="AD13" s="157" t="s">
        <v>28</v>
      </c>
      <c r="AE13" s="141"/>
      <c r="AF13" s="141"/>
      <c r="AG13" s="141"/>
      <c r="AH13" s="141"/>
      <c r="AI13" s="137"/>
      <c r="AJ13" s="158" t="s">
        <v>29</v>
      </c>
      <c r="AK13" s="141"/>
      <c r="AL13" s="141"/>
      <c r="AM13" s="141"/>
      <c r="AN13" s="141"/>
      <c r="AO13" s="141"/>
      <c r="AP13" s="141"/>
      <c r="AQ13" s="137"/>
      <c r="AR13" s="157" t="s">
        <v>30</v>
      </c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37"/>
    </row>
    <row r="14" spans="1:65">
      <c r="A14" s="1"/>
      <c r="B14" s="36" t="s">
        <v>31</v>
      </c>
      <c r="C14" s="37"/>
      <c r="D14" s="37"/>
      <c r="E14" s="37" t="s">
        <v>32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40"/>
    </row>
    <row r="15" spans="1:65" ht="31.5" customHeight="1">
      <c r="A15" s="1"/>
      <c r="B15" s="136">
        <v>1</v>
      </c>
      <c r="C15" s="137"/>
      <c r="D15" s="140" t="s">
        <v>148</v>
      </c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37"/>
      <c r="R15" s="136" t="s">
        <v>33</v>
      </c>
      <c r="S15" s="137"/>
      <c r="T15" s="144" t="s">
        <v>136</v>
      </c>
      <c r="U15" s="144"/>
      <c r="V15" s="144"/>
      <c r="W15" s="144"/>
      <c r="X15" s="136" t="s">
        <v>137</v>
      </c>
      <c r="Y15" s="141"/>
      <c r="Z15" s="136" t="s">
        <v>34</v>
      </c>
      <c r="AA15" s="141"/>
      <c r="AB15" s="141"/>
      <c r="AC15" s="137"/>
      <c r="AD15" s="140" t="s">
        <v>34</v>
      </c>
      <c r="AE15" s="141"/>
      <c r="AF15" s="141"/>
      <c r="AG15" s="141"/>
      <c r="AH15" s="141"/>
      <c r="AI15" s="137"/>
      <c r="AJ15" s="140" t="s">
        <v>34</v>
      </c>
      <c r="AK15" s="141"/>
      <c r="AL15" s="141"/>
      <c r="AM15" s="141"/>
      <c r="AN15" s="141"/>
      <c r="AO15" s="141"/>
      <c r="AP15" s="141"/>
      <c r="AQ15" s="137"/>
      <c r="AR15" s="160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37"/>
    </row>
    <row r="16" spans="1:65" ht="30" customHeight="1">
      <c r="A16" s="1"/>
      <c r="B16" s="136">
        <v>2</v>
      </c>
      <c r="C16" s="137"/>
      <c r="D16" s="143" t="s">
        <v>149</v>
      </c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37"/>
      <c r="R16" s="136" t="s">
        <v>33</v>
      </c>
      <c r="S16" s="137"/>
      <c r="T16" s="144" t="s">
        <v>136</v>
      </c>
      <c r="U16" s="144"/>
      <c r="V16" s="144"/>
      <c r="W16" s="144"/>
      <c r="X16" s="136" t="s">
        <v>137</v>
      </c>
      <c r="Y16" s="141"/>
      <c r="Z16" s="136" t="s">
        <v>34</v>
      </c>
      <c r="AA16" s="141"/>
      <c r="AB16" s="141"/>
      <c r="AC16" s="137"/>
      <c r="AD16" s="140" t="s">
        <v>139</v>
      </c>
      <c r="AE16" s="141"/>
      <c r="AF16" s="141"/>
      <c r="AG16" s="141"/>
      <c r="AH16" s="141"/>
      <c r="AI16" s="137"/>
      <c r="AJ16" s="140" t="s">
        <v>140</v>
      </c>
      <c r="AK16" s="141"/>
      <c r="AL16" s="141"/>
      <c r="AM16" s="141"/>
      <c r="AN16" s="141"/>
      <c r="AO16" s="141"/>
      <c r="AP16" s="141"/>
      <c r="AQ16" s="137"/>
      <c r="AR16" s="142" t="s">
        <v>142</v>
      </c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37"/>
    </row>
    <row r="17" spans="1:65" ht="40.5" customHeight="1">
      <c r="A17" s="1"/>
      <c r="B17" s="136">
        <v>3</v>
      </c>
      <c r="C17" s="137"/>
      <c r="D17" s="143" t="s">
        <v>150</v>
      </c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37"/>
      <c r="R17" s="136" t="s">
        <v>34</v>
      </c>
      <c r="S17" s="137"/>
      <c r="T17" s="144" t="s">
        <v>136</v>
      </c>
      <c r="U17" s="144"/>
      <c r="V17" s="144"/>
      <c r="W17" s="144"/>
      <c r="X17" s="136" t="s">
        <v>137</v>
      </c>
      <c r="Y17" s="141"/>
      <c r="Z17" s="136" t="s">
        <v>34</v>
      </c>
      <c r="AA17" s="141"/>
      <c r="AB17" s="141"/>
      <c r="AC17" s="137"/>
      <c r="AD17" s="140" t="s">
        <v>139</v>
      </c>
      <c r="AE17" s="141"/>
      <c r="AF17" s="141"/>
      <c r="AG17" s="141"/>
      <c r="AH17" s="141"/>
      <c r="AI17" s="137"/>
      <c r="AJ17" s="140" t="s">
        <v>141</v>
      </c>
      <c r="AK17" s="141"/>
      <c r="AL17" s="141"/>
      <c r="AM17" s="141"/>
      <c r="AN17" s="141"/>
      <c r="AO17" s="141"/>
      <c r="AP17" s="141"/>
      <c r="AQ17" s="137"/>
      <c r="AR17" s="142" t="s">
        <v>143</v>
      </c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37"/>
    </row>
    <row r="18" spans="1:65" ht="28.95" customHeight="1">
      <c r="A18" s="1"/>
      <c r="B18" s="136">
        <v>4</v>
      </c>
      <c r="C18" s="137"/>
      <c r="D18" s="154" t="s">
        <v>151</v>
      </c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33" t="s">
        <v>34</v>
      </c>
      <c r="S18" s="135"/>
      <c r="T18" s="126" t="s">
        <v>35</v>
      </c>
      <c r="U18" s="127"/>
      <c r="V18" s="127"/>
      <c r="W18" s="128"/>
      <c r="X18" s="133" t="s">
        <v>34</v>
      </c>
      <c r="Y18" s="134"/>
      <c r="Z18" s="133" t="s">
        <v>34</v>
      </c>
      <c r="AA18" s="134"/>
      <c r="AB18" s="134"/>
      <c r="AC18" s="135"/>
      <c r="AD18" s="122" t="s">
        <v>34</v>
      </c>
      <c r="AE18" s="122"/>
      <c r="AF18" s="122"/>
      <c r="AG18" s="122"/>
      <c r="AH18" s="122"/>
      <c r="AI18" s="122"/>
      <c r="AJ18" s="122" t="s">
        <v>34</v>
      </c>
      <c r="AK18" s="122"/>
      <c r="AL18" s="122"/>
      <c r="AM18" s="122"/>
      <c r="AN18" s="122"/>
      <c r="AO18" s="122"/>
      <c r="AP18" s="122"/>
      <c r="AQ18" s="122"/>
      <c r="AR18" s="123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5"/>
    </row>
    <row r="19" spans="1:65" ht="28.95" customHeight="1">
      <c r="A19" s="1"/>
      <c r="B19" s="136">
        <v>5</v>
      </c>
      <c r="C19" s="137"/>
      <c r="D19" s="154" t="s">
        <v>152</v>
      </c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  <c r="R19" s="133" t="s">
        <v>34</v>
      </c>
      <c r="S19" s="135"/>
      <c r="T19" s="126" t="s">
        <v>35</v>
      </c>
      <c r="U19" s="127"/>
      <c r="V19" s="127"/>
      <c r="W19" s="128"/>
      <c r="X19" s="133" t="s">
        <v>34</v>
      </c>
      <c r="Y19" s="134"/>
      <c r="Z19" s="133" t="s">
        <v>34</v>
      </c>
      <c r="AA19" s="134"/>
      <c r="AB19" s="134"/>
      <c r="AC19" s="135"/>
      <c r="AD19" s="122" t="s">
        <v>34</v>
      </c>
      <c r="AE19" s="122"/>
      <c r="AF19" s="122"/>
      <c r="AG19" s="122"/>
      <c r="AH19" s="122"/>
      <c r="AI19" s="122"/>
      <c r="AJ19" s="122" t="s">
        <v>34</v>
      </c>
      <c r="AK19" s="122"/>
      <c r="AL19" s="122"/>
      <c r="AM19" s="122"/>
      <c r="AN19" s="122"/>
      <c r="AO19" s="122"/>
      <c r="AP19" s="122"/>
      <c r="AQ19" s="122"/>
      <c r="AR19" s="123" t="s">
        <v>163</v>
      </c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5"/>
    </row>
    <row r="20" spans="1:65" ht="28.95" customHeight="1">
      <c r="A20" s="1"/>
      <c r="B20" s="136">
        <v>6</v>
      </c>
      <c r="C20" s="137"/>
      <c r="D20" s="138" t="s">
        <v>154</v>
      </c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39"/>
      <c r="R20" s="133" t="s">
        <v>34</v>
      </c>
      <c r="S20" s="135"/>
      <c r="T20" s="126" t="s">
        <v>35</v>
      </c>
      <c r="U20" s="127"/>
      <c r="V20" s="127"/>
      <c r="W20" s="128"/>
      <c r="X20" s="129" t="s">
        <v>34</v>
      </c>
      <c r="Y20" s="130"/>
      <c r="Z20" s="131" t="s">
        <v>34</v>
      </c>
      <c r="AA20" s="130"/>
      <c r="AB20" s="130"/>
      <c r="AC20" s="132"/>
      <c r="AD20" s="122" t="s">
        <v>34</v>
      </c>
      <c r="AE20" s="122"/>
      <c r="AF20" s="122"/>
      <c r="AG20" s="122"/>
      <c r="AH20" s="122"/>
      <c r="AI20" s="122"/>
      <c r="AJ20" s="122" t="s">
        <v>34</v>
      </c>
      <c r="AK20" s="122"/>
      <c r="AL20" s="122"/>
      <c r="AM20" s="122"/>
      <c r="AN20" s="122"/>
      <c r="AO20" s="122"/>
      <c r="AP20" s="122"/>
      <c r="AQ20" s="122"/>
      <c r="AR20" s="123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5"/>
    </row>
    <row r="21" spans="1:65" ht="28.95" customHeight="1">
      <c r="A21" s="1"/>
      <c r="B21" s="136">
        <v>7</v>
      </c>
      <c r="C21" s="137"/>
      <c r="D21" s="154" t="s">
        <v>153</v>
      </c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5"/>
      <c r="R21" s="161" t="s">
        <v>34</v>
      </c>
      <c r="S21" s="162"/>
      <c r="T21" s="163" t="s">
        <v>35</v>
      </c>
      <c r="U21" s="127"/>
      <c r="V21" s="127"/>
      <c r="W21" s="128"/>
      <c r="X21" s="164" t="s">
        <v>34</v>
      </c>
      <c r="Y21" s="165"/>
      <c r="Z21" s="166" t="s">
        <v>34</v>
      </c>
      <c r="AA21" s="167"/>
      <c r="AB21" s="167"/>
      <c r="AC21" s="168"/>
      <c r="AD21" s="169" t="s">
        <v>34</v>
      </c>
      <c r="AE21" s="170"/>
      <c r="AF21" s="170"/>
      <c r="AG21" s="170"/>
      <c r="AH21" s="170"/>
      <c r="AI21" s="171"/>
      <c r="AJ21" s="169" t="s">
        <v>34</v>
      </c>
      <c r="AK21" s="170"/>
      <c r="AL21" s="170"/>
      <c r="AM21" s="170"/>
      <c r="AN21" s="170"/>
      <c r="AO21" s="170"/>
      <c r="AP21" s="170"/>
      <c r="AQ21" s="171"/>
      <c r="AR21" s="123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5"/>
    </row>
    <row r="22" spans="1:65" ht="28.95" customHeight="1">
      <c r="A22" s="1"/>
      <c r="B22" s="136">
        <v>8</v>
      </c>
      <c r="C22" s="137"/>
      <c r="D22" s="154" t="s">
        <v>155</v>
      </c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36" t="s">
        <v>33</v>
      </c>
      <c r="S22" s="137"/>
      <c r="T22" s="163" t="s">
        <v>35</v>
      </c>
      <c r="U22" s="127"/>
      <c r="V22" s="127"/>
      <c r="W22" s="128"/>
      <c r="X22" s="164" t="s">
        <v>34</v>
      </c>
      <c r="Y22" s="165"/>
      <c r="Z22" s="166" t="s">
        <v>34</v>
      </c>
      <c r="AA22" s="167"/>
      <c r="AB22" s="167"/>
      <c r="AC22" s="168"/>
      <c r="AD22" s="169" t="s">
        <v>34</v>
      </c>
      <c r="AE22" s="170"/>
      <c r="AF22" s="170"/>
      <c r="AG22" s="170"/>
      <c r="AH22" s="170"/>
      <c r="AI22" s="171"/>
      <c r="AJ22" s="169" t="s">
        <v>34</v>
      </c>
      <c r="AK22" s="170"/>
      <c r="AL22" s="170"/>
      <c r="AM22" s="170"/>
      <c r="AN22" s="170"/>
      <c r="AO22" s="170"/>
      <c r="AP22" s="170"/>
      <c r="AQ22" s="171"/>
      <c r="AR22" s="123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5"/>
    </row>
    <row r="23" spans="1:65" ht="28.95" customHeight="1">
      <c r="A23" s="1"/>
      <c r="B23" s="136">
        <v>9</v>
      </c>
      <c r="C23" s="137"/>
      <c r="D23" s="138" t="s">
        <v>156</v>
      </c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39"/>
      <c r="R23" s="133" t="s">
        <v>34</v>
      </c>
      <c r="S23" s="135"/>
      <c r="T23" s="126" t="s">
        <v>35</v>
      </c>
      <c r="U23" s="127"/>
      <c r="V23" s="127"/>
      <c r="W23" s="128"/>
      <c r="X23" s="129" t="s">
        <v>34</v>
      </c>
      <c r="Y23" s="130"/>
      <c r="Z23" s="131" t="s">
        <v>34</v>
      </c>
      <c r="AA23" s="130"/>
      <c r="AB23" s="130"/>
      <c r="AC23" s="132"/>
      <c r="AD23" s="122" t="s">
        <v>34</v>
      </c>
      <c r="AE23" s="122"/>
      <c r="AF23" s="122"/>
      <c r="AG23" s="122"/>
      <c r="AH23" s="122"/>
      <c r="AI23" s="122"/>
      <c r="AJ23" s="122" t="s">
        <v>34</v>
      </c>
      <c r="AK23" s="122"/>
      <c r="AL23" s="122"/>
      <c r="AM23" s="122"/>
      <c r="AN23" s="122"/>
      <c r="AO23" s="122"/>
      <c r="AP23" s="122"/>
      <c r="AQ23" s="122"/>
      <c r="AR23" s="123" t="s">
        <v>166</v>
      </c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5"/>
    </row>
    <row r="24" spans="1:65" ht="28.95" customHeight="1">
      <c r="A24" s="1"/>
      <c r="B24" s="136">
        <v>10</v>
      </c>
      <c r="C24" s="137"/>
      <c r="D24" s="138" t="s">
        <v>157</v>
      </c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39"/>
      <c r="R24" s="133" t="s">
        <v>34</v>
      </c>
      <c r="S24" s="135"/>
      <c r="T24" s="126" t="s">
        <v>35</v>
      </c>
      <c r="U24" s="127"/>
      <c r="V24" s="127"/>
      <c r="W24" s="128"/>
      <c r="X24" s="129" t="s">
        <v>34</v>
      </c>
      <c r="Y24" s="130"/>
      <c r="Z24" s="131" t="s">
        <v>34</v>
      </c>
      <c r="AA24" s="130"/>
      <c r="AB24" s="130"/>
      <c r="AC24" s="132"/>
      <c r="AD24" s="122" t="s">
        <v>34</v>
      </c>
      <c r="AE24" s="122"/>
      <c r="AF24" s="122"/>
      <c r="AG24" s="122"/>
      <c r="AH24" s="122"/>
      <c r="AI24" s="122"/>
      <c r="AJ24" s="122" t="s">
        <v>34</v>
      </c>
      <c r="AK24" s="122"/>
      <c r="AL24" s="122"/>
      <c r="AM24" s="122"/>
      <c r="AN24" s="122"/>
      <c r="AO24" s="122"/>
      <c r="AP24" s="122"/>
      <c r="AQ24" s="122"/>
      <c r="AR24" s="123" t="s">
        <v>164</v>
      </c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5"/>
    </row>
    <row r="25" spans="1:65" ht="28.95" customHeight="1">
      <c r="A25" s="1"/>
      <c r="B25" s="136">
        <v>11</v>
      </c>
      <c r="C25" s="137"/>
      <c r="D25" s="138" t="s">
        <v>158</v>
      </c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39"/>
      <c r="R25" s="133" t="s">
        <v>34</v>
      </c>
      <c r="S25" s="135"/>
      <c r="T25" s="126" t="s">
        <v>35</v>
      </c>
      <c r="U25" s="127"/>
      <c r="V25" s="127"/>
      <c r="W25" s="128"/>
      <c r="X25" s="129" t="s">
        <v>34</v>
      </c>
      <c r="Y25" s="130"/>
      <c r="Z25" s="131" t="s">
        <v>34</v>
      </c>
      <c r="AA25" s="130"/>
      <c r="AB25" s="130"/>
      <c r="AC25" s="132"/>
      <c r="AD25" s="122" t="s">
        <v>34</v>
      </c>
      <c r="AE25" s="122"/>
      <c r="AF25" s="122"/>
      <c r="AG25" s="122"/>
      <c r="AH25" s="122"/>
      <c r="AI25" s="122"/>
      <c r="AJ25" s="122" t="s">
        <v>34</v>
      </c>
      <c r="AK25" s="122"/>
      <c r="AL25" s="122"/>
      <c r="AM25" s="122"/>
      <c r="AN25" s="122"/>
      <c r="AO25" s="122"/>
      <c r="AP25" s="122"/>
      <c r="AQ25" s="122"/>
      <c r="AR25" s="123" t="s">
        <v>165</v>
      </c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  <c r="BH25" s="124"/>
      <c r="BI25" s="124"/>
      <c r="BJ25" s="124"/>
      <c r="BK25" s="124"/>
      <c r="BL25" s="124"/>
      <c r="BM25" s="125"/>
    </row>
    <row r="26" spans="1:65">
      <c r="A26" s="1"/>
      <c r="B26" s="48" t="s">
        <v>132</v>
      </c>
      <c r="C26" s="49"/>
      <c r="D26" s="49"/>
      <c r="E26" s="46" t="s">
        <v>32</v>
      </c>
      <c r="F26" s="46"/>
      <c r="G26" s="46"/>
      <c r="H26" s="46" t="s">
        <v>133</v>
      </c>
      <c r="I26" s="46"/>
      <c r="J26" s="46"/>
      <c r="K26" s="46"/>
      <c r="L26" s="46"/>
      <c r="M26" s="46"/>
      <c r="N26" s="46"/>
      <c r="O26" s="46"/>
      <c r="P26" s="46"/>
      <c r="Q26" s="49"/>
      <c r="R26" s="49"/>
      <c r="S26" s="49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7"/>
    </row>
    <row r="27" spans="1:65" ht="28.95" customHeight="1">
      <c r="A27" s="1"/>
      <c r="B27" s="153">
        <v>1</v>
      </c>
      <c r="C27" s="153"/>
      <c r="D27" s="145" t="s">
        <v>159</v>
      </c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53" t="s">
        <v>34</v>
      </c>
      <c r="S27" s="153"/>
      <c r="T27" s="144" t="s">
        <v>136</v>
      </c>
      <c r="U27" s="144"/>
      <c r="V27" s="144"/>
      <c r="W27" s="144"/>
      <c r="X27" s="153" t="s">
        <v>137</v>
      </c>
      <c r="Y27" s="153"/>
      <c r="Z27" s="153" t="s">
        <v>34</v>
      </c>
      <c r="AA27" s="153"/>
      <c r="AB27" s="153"/>
      <c r="AC27" s="153"/>
      <c r="AD27" s="122" t="s">
        <v>34</v>
      </c>
      <c r="AE27" s="122"/>
      <c r="AF27" s="122"/>
      <c r="AG27" s="122"/>
      <c r="AH27" s="122"/>
      <c r="AI27" s="122"/>
      <c r="AJ27" s="122" t="s">
        <v>34</v>
      </c>
      <c r="AK27" s="122"/>
      <c r="AL27" s="122"/>
      <c r="AM27" s="122"/>
      <c r="AN27" s="122"/>
      <c r="AO27" s="122"/>
      <c r="AP27" s="122"/>
      <c r="AQ27" s="122"/>
      <c r="AR27" s="145" t="s">
        <v>161</v>
      </c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</row>
    <row r="28" spans="1:65" ht="28.95" customHeight="1">
      <c r="A28" s="1"/>
      <c r="B28" s="153">
        <v>2</v>
      </c>
      <c r="C28" s="153"/>
      <c r="D28" s="145" t="s">
        <v>160</v>
      </c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53" t="s">
        <v>34</v>
      </c>
      <c r="S28" s="153"/>
      <c r="T28" s="144" t="s">
        <v>136</v>
      </c>
      <c r="U28" s="144"/>
      <c r="V28" s="144"/>
      <c r="W28" s="144"/>
      <c r="X28" s="153" t="s">
        <v>137</v>
      </c>
      <c r="Y28" s="153"/>
      <c r="Z28" s="153" t="s">
        <v>34</v>
      </c>
      <c r="AA28" s="153"/>
      <c r="AB28" s="153"/>
      <c r="AC28" s="153"/>
      <c r="AD28" s="122" t="s">
        <v>34</v>
      </c>
      <c r="AE28" s="122"/>
      <c r="AF28" s="122"/>
      <c r="AG28" s="122"/>
      <c r="AH28" s="122"/>
      <c r="AI28" s="122"/>
      <c r="AJ28" s="122" t="s">
        <v>34</v>
      </c>
      <c r="AK28" s="122"/>
      <c r="AL28" s="122"/>
      <c r="AM28" s="122"/>
      <c r="AN28" s="122"/>
      <c r="AO28" s="122"/>
      <c r="AP28" s="122"/>
      <c r="AQ28" s="122"/>
      <c r="AR28" s="145" t="s">
        <v>162</v>
      </c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</row>
    <row r="29" spans="1:65">
      <c r="A29" s="1"/>
      <c r="B29" s="45" t="s">
        <v>134</v>
      </c>
      <c r="C29" s="46"/>
      <c r="D29" s="46"/>
      <c r="E29" s="46"/>
      <c r="F29" s="46"/>
      <c r="G29" s="46"/>
      <c r="H29" s="46"/>
      <c r="I29" s="46"/>
      <c r="J29" s="46"/>
      <c r="K29" s="46" t="s">
        <v>135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7"/>
    </row>
    <row r="30" spans="1:65" ht="28.95" customHeight="1">
      <c r="A30" s="1"/>
      <c r="B30" s="146"/>
      <c r="C30" s="146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31"/>
      <c r="S30" s="148"/>
      <c r="T30" s="149"/>
      <c r="U30" s="150"/>
      <c r="V30" s="150"/>
      <c r="W30" s="151"/>
      <c r="X30" s="146"/>
      <c r="Y30" s="146"/>
      <c r="Z30" s="131"/>
      <c r="AA30" s="130"/>
      <c r="AB30" s="130"/>
      <c r="AC30" s="13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</sheetData>
  <mergeCells count="148">
    <mergeCell ref="Z27:AC27"/>
    <mergeCell ref="AD27:AI27"/>
    <mergeCell ref="AJ27:AQ27"/>
    <mergeCell ref="B25:C25"/>
    <mergeCell ref="D25:Q25"/>
    <mergeCell ref="R25:S25"/>
    <mergeCell ref="T25:W25"/>
    <mergeCell ref="X25:Y25"/>
    <mergeCell ref="Z25:AC25"/>
    <mergeCell ref="AD25:AI25"/>
    <mergeCell ref="AJ25:AQ25"/>
    <mergeCell ref="AR25:BM25"/>
    <mergeCell ref="B24:C24"/>
    <mergeCell ref="D24:Q24"/>
    <mergeCell ref="R24:S24"/>
    <mergeCell ref="T24:W24"/>
    <mergeCell ref="X24:Y24"/>
    <mergeCell ref="Z24:AC24"/>
    <mergeCell ref="AD24:AI24"/>
    <mergeCell ref="AJ24:AQ24"/>
    <mergeCell ref="AR24:BM24"/>
    <mergeCell ref="B23:C23"/>
    <mergeCell ref="D23:Q23"/>
    <mergeCell ref="R23:S23"/>
    <mergeCell ref="T23:W23"/>
    <mergeCell ref="X23:Y23"/>
    <mergeCell ref="Z23:AC23"/>
    <mergeCell ref="AD23:AI23"/>
    <mergeCell ref="AJ23:AQ23"/>
    <mergeCell ref="AR23:BM23"/>
    <mergeCell ref="B22:C22"/>
    <mergeCell ref="D22:Q22"/>
    <mergeCell ref="R22:S22"/>
    <mergeCell ref="T22:W22"/>
    <mergeCell ref="X22:Y22"/>
    <mergeCell ref="Z22:AC22"/>
    <mergeCell ref="AD22:AI22"/>
    <mergeCell ref="AJ22:AQ22"/>
    <mergeCell ref="AR22:BM22"/>
    <mergeCell ref="B21:C21"/>
    <mergeCell ref="D21:Q21"/>
    <mergeCell ref="R21:S21"/>
    <mergeCell ref="T21:W21"/>
    <mergeCell ref="X21:Y21"/>
    <mergeCell ref="Z21:AC21"/>
    <mergeCell ref="AD21:AI21"/>
    <mergeCell ref="AJ21:AQ21"/>
    <mergeCell ref="AR21:BM21"/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R15:S15"/>
    <mergeCell ref="T15:W15"/>
    <mergeCell ref="X15:Y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B16:C16"/>
    <mergeCell ref="D16:Q16"/>
    <mergeCell ref="R16:S16"/>
    <mergeCell ref="T16:W16"/>
    <mergeCell ref="X16:Y16"/>
    <mergeCell ref="Z16:AC16"/>
    <mergeCell ref="D18:Q18"/>
    <mergeCell ref="D19:Q19"/>
    <mergeCell ref="R19:S19"/>
    <mergeCell ref="T19:W19"/>
    <mergeCell ref="B18:C18"/>
    <mergeCell ref="R18:S18"/>
    <mergeCell ref="T18:W18"/>
    <mergeCell ref="X18:Y18"/>
    <mergeCell ref="Z18:AC18"/>
    <mergeCell ref="AR27:BM27"/>
    <mergeCell ref="B30:C30"/>
    <mergeCell ref="D30:Q30"/>
    <mergeCell ref="R30:S30"/>
    <mergeCell ref="T30:W30"/>
    <mergeCell ref="X30:Y30"/>
    <mergeCell ref="Z30:AC30"/>
    <mergeCell ref="AD30:AI30"/>
    <mergeCell ref="AJ30:AQ30"/>
    <mergeCell ref="AR30:BM30"/>
    <mergeCell ref="B27:C27"/>
    <mergeCell ref="D27:Q27"/>
    <mergeCell ref="R27:S27"/>
    <mergeCell ref="B28:C28"/>
    <mergeCell ref="D28:Q28"/>
    <mergeCell ref="R28:S28"/>
    <mergeCell ref="T27:W27"/>
    <mergeCell ref="X27:Y27"/>
    <mergeCell ref="T28:W28"/>
    <mergeCell ref="X28:Y28"/>
    <mergeCell ref="Z28:AC28"/>
    <mergeCell ref="AD28:AI28"/>
    <mergeCell ref="AJ28:AQ28"/>
    <mergeCell ref="AR28:BM28"/>
    <mergeCell ref="AV3:BF3"/>
    <mergeCell ref="AV4:BF4"/>
    <mergeCell ref="AV6:BF6"/>
    <mergeCell ref="Z19:AC19"/>
    <mergeCell ref="AD19:AI19"/>
    <mergeCell ref="AJ19:AQ19"/>
    <mergeCell ref="AR19:BM19"/>
    <mergeCell ref="B20:C20"/>
    <mergeCell ref="D20:Q20"/>
    <mergeCell ref="R20:S20"/>
    <mergeCell ref="B19:C19"/>
    <mergeCell ref="X19:Y19"/>
    <mergeCell ref="AD16:AI16"/>
    <mergeCell ref="AJ16:AQ16"/>
    <mergeCell ref="AR16:BM16"/>
    <mergeCell ref="B17:C17"/>
    <mergeCell ref="D17:Q17"/>
    <mergeCell ref="R17:S17"/>
    <mergeCell ref="T17:W17"/>
    <mergeCell ref="X17:Y17"/>
    <mergeCell ref="Z17:AC17"/>
    <mergeCell ref="AD17:AI17"/>
    <mergeCell ref="AJ17:AQ17"/>
    <mergeCell ref="AR17:BM17"/>
    <mergeCell ref="AD18:AI18"/>
    <mergeCell ref="AJ18:AQ18"/>
    <mergeCell ref="AR18:BM18"/>
    <mergeCell ref="T20:W20"/>
    <mergeCell ref="X20:Y20"/>
    <mergeCell ref="Z20:AC20"/>
    <mergeCell ref="AD20:AI20"/>
    <mergeCell ref="AJ20:AQ20"/>
    <mergeCell ref="AR20:BM20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90"/>
  <sheetViews>
    <sheetView showGridLines="0" topLeftCell="A10" workbookViewId="0">
      <selection activeCell="F30" sqref="F30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95" t="s">
        <v>1</v>
      </c>
      <c r="G2" s="141"/>
      <c r="H2" s="141"/>
      <c r="I2" s="141"/>
      <c r="J2" s="141"/>
      <c r="K2" s="141"/>
      <c r="L2" s="141"/>
      <c r="M2" s="137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95" t="s">
        <v>3</v>
      </c>
      <c r="G3" s="141"/>
      <c r="H3" s="141"/>
      <c r="I3" s="141"/>
      <c r="J3" s="141"/>
      <c r="K3" s="141"/>
      <c r="L3" s="141"/>
      <c r="M3" s="137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6">
        <f>Header!AV3</f>
        <v>45840</v>
      </c>
      <c r="AW3" s="141"/>
      <c r="AX3" s="141"/>
      <c r="AY3" s="141"/>
      <c r="AZ3" s="141"/>
      <c r="BA3" s="141"/>
      <c r="BB3" s="141"/>
      <c r="BC3" s="141"/>
      <c r="BD3" s="141"/>
      <c r="BE3" s="141"/>
      <c r="BF3" s="137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95" t="s">
        <v>5</v>
      </c>
      <c r="G4" s="141"/>
      <c r="H4" s="141"/>
      <c r="I4" s="141"/>
      <c r="J4" s="141"/>
      <c r="K4" s="141"/>
      <c r="L4" s="141"/>
      <c r="M4" s="137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9">
        <f>Header!AV4</f>
        <v>0.1</v>
      </c>
      <c r="AW4" s="141"/>
      <c r="AX4" s="141"/>
      <c r="AY4" s="141"/>
      <c r="AZ4" s="141"/>
      <c r="BA4" s="141"/>
      <c r="BB4" s="141"/>
      <c r="BC4" s="141"/>
      <c r="BD4" s="141"/>
      <c r="BE4" s="141"/>
      <c r="BF4" s="137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95" t="s">
        <v>7</v>
      </c>
      <c r="G5" s="141"/>
      <c r="H5" s="141"/>
      <c r="I5" s="141"/>
      <c r="J5" s="141"/>
      <c r="K5" s="141"/>
      <c r="L5" s="141"/>
      <c r="M5" s="13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95" t="s">
        <v>9</v>
      </c>
      <c r="G6" s="141"/>
      <c r="H6" s="141"/>
      <c r="I6" s="141"/>
      <c r="J6" s="141"/>
      <c r="K6" s="141"/>
      <c r="L6" s="141"/>
      <c r="M6" s="137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6">
        <f>Header!AV6</f>
        <v>45840</v>
      </c>
      <c r="AW6" s="141"/>
      <c r="AX6" s="141"/>
      <c r="AY6" s="141"/>
      <c r="AZ6" s="141"/>
      <c r="BA6" s="141"/>
      <c r="BB6" s="141"/>
      <c r="BC6" s="141"/>
      <c r="BD6" s="141"/>
      <c r="BE6" s="141"/>
      <c r="BF6" s="137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95" t="s">
        <v>12</v>
      </c>
      <c r="G7" s="141"/>
      <c r="H7" s="141"/>
      <c r="I7" s="141"/>
      <c r="J7" s="141"/>
      <c r="K7" s="141"/>
      <c r="L7" s="141"/>
      <c r="M7" s="13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95" t="s">
        <v>13</v>
      </c>
      <c r="G8" s="141"/>
      <c r="H8" s="141"/>
      <c r="I8" s="141"/>
      <c r="J8" s="141"/>
      <c r="K8" s="141"/>
      <c r="L8" s="141"/>
      <c r="M8" s="137"/>
      <c r="N8" s="10" t="str">
        <f>Header!N8</f>
        <v>Create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98" t="s">
        <v>14</v>
      </c>
      <c r="G9" s="134"/>
      <c r="H9" s="134"/>
      <c r="I9" s="134"/>
      <c r="J9" s="134"/>
      <c r="K9" s="134"/>
      <c r="L9" s="134"/>
      <c r="M9" s="135"/>
      <c r="N9" s="174" t="str">
        <f>Header!N9</f>
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</c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5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01"/>
      <c r="G10" s="155"/>
      <c r="H10" s="155"/>
      <c r="I10" s="155"/>
      <c r="J10" s="155"/>
      <c r="K10" s="155"/>
      <c r="L10" s="155"/>
      <c r="M10" s="156"/>
      <c r="N10" s="159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ht="15.75" customHeight="1">
      <c r="A12" s="1"/>
      <c r="B12" s="22" t="s">
        <v>69</v>
      </c>
      <c r="C12" s="23"/>
      <c r="D12" s="23"/>
      <c r="E12" s="24"/>
      <c r="F12" s="10" t="s">
        <v>168</v>
      </c>
      <c r="G12" s="11"/>
      <c r="H12" s="11"/>
      <c r="I12" s="11"/>
      <c r="J12" s="11"/>
      <c r="K12" s="11"/>
      <c r="L12" s="11"/>
      <c r="M12" s="11"/>
      <c r="N12" s="3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31"/>
      <c r="AB12" s="11"/>
      <c r="AC12" s="11"/>
      <c r="AD12" s="11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15.75" customHeight="1">
      <c r="A13" s="1"/>
      <c r="B13" s="22" t="s">
        <v>70</v>
      </c>
      <c r="C13" s="23"/>
      <c r="D13" s="23"/>
      <c r="E13" s="24"/>
      <c r="F13" s="10" t="s">
        <v>167</v>
      </c>
      <c r="G13" s="11"/>
      <c r="H13" s="11"/>
      <c r="I13" s="11"/>
      <c r="J13" s="11"/>
      <c r="K13" s="11"/>
      <c r="L13" s="11"/>
      <c r="M13" s="11"/>
      <c r="N13" s="3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31"/>
      <c r="AB13" s="11"/>
      <c r="AC13" s="11"/>
      <c r="AD13" s="11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15.75" customHeight="1">
      <c r="A14" s="1"/>
      <c r="B14" s="22" t="s">
        <v>183</v>
      </c>
      <c r="C14" s="23"/>
      <c r="D14" s="23"/>
      <c r="E14" s="24"/>
      <c r="F14" s="10" t="s">
        <v>169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31"/>
      <c r="T14" s="11"/>
      <c r="U14" s="11"/>
      <c r="V14" s="11"/>
      <c r="W14" s="11"/>
      <c r="X14" s="11"/>
      <c r="Y14" s="11"/>
      <c r="Z14" s="11"/>
      <c r="AA14" s="31"/>
      <c r="AB14" s="11"/>
      <c r="AC14" s="11"/>
      <c r="AD14" s="11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4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75" customHeight="1">
      <c r="A15" s="1"/>
      <c r="B15" s="25" t="s">
        <v>71</v>
      </c>
      <c r="C15" s="26"/>
      <c r="D15" s="26"/>
      <c r="E15" s="27"/>
      <c r="F15" s="10" t="s">
        <v>34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31"/>
      <c r="AB15" s="11"/>
      <c r="AC15" s="11"/>
      <c r="AD15" s="11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4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ht="15.75" customHeight="1">
      <c r="A16" s="1"/>
      <c r="B16" s="50" t="s">
        <v>72</v>
      </c>
      <c r="C16" s="50"/>
      <c r="D16" s="50"/>
      <c r="E16" s="5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9"/>
      <c r="AB16" s="1"/>
      <c r="AC16" s="1"/>
      <c r="AD16" s="1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3" t="s">
        <v>73</v>
      </c>
      <c r="D17" s="1" t="s">
        <v>170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 ht="15.75" customHeight="1">
      <c r="A18" s="1"/>
      <c r="B18" s="50"/>
      <c r="C18" s="50"/>
      <c r="D18" s="50"/>
      <c r="E18" s="5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9"/>
      <c r="AB18" s="1"/>
      <c r="AC18" s="1"/>
      <c r="AD18" s="1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 ht="15.75" customHeight="1">
      <c r="A19" s="1"/>
      <c r="B19" s="1"/>
      <c r="C19" s="1"/>
      <c r="D19" s="1"/>
      <c r="E19" s="43" t="s">
        <v>74</v>
      </c>
      <c r="F19" s="1"/>
      <c r="G19" s="1"/>
      <c r="H19" s="1" t="s">
        <v>272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1"/>
      <c r="B20" s="1"/>
      <c r="C20" s="1"/>
      <c r="D20" s="1"/>
      <c r="E20" s="4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 ht="15.75" customHeight="1">
      <c r="A21" s="1"/>
      <c r="B21" s="1"/>
      <c r="C21" s="1"/>
      <c r="D21" s="1"/>
      <c r="E21" s="43" t="s">
        <v>76</v>
      </c>
      <c r="F21" s="1"/>
      <c r="G21" s="1"/>
      <c r="H21" s="1" t="s">
        <v>273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>
      <c r="A23" s="1"/>
      <c r="B23" s="22" t="s">
        <v>69</v>
      </c>
      <c r="C23" s="23"/>
      <c r="D23" s="23"/>
      <c r="E23" s="24"/>
      <c r="F23" s="11" t="s">
        <v>171</v>
      </c>
      <c r="G23" s="11"/>
      <c r="H23" s="11"/>
      <c r="I23" s="11"/>
      <c r="J23" s="11"/>
      <c r="K23" s="11"/>
      <c r="L23" s="11"/>
      <c r="M23" s="31"/>
      <c r="N23" s="31"/>
      <c r="O23" s="31"/>
      <c r="P23" s="11"/>
      <c r="Q23" s="11"/>
      <c r="R23" s="1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>
      <c r="A24" s="1"/>
      <c r="B24" s="22" t="s">
        <v>70</v>
      </c>
      <c r="C24" s="23"/>
      <c r="D24" s="23"/>
      <c r="E24" s="24"/>
      <c r="F24" s="11" t="s">
        <v>172</v>
      </c>
      <c r="G24" s="11"/>
      <c r="H24" s="11"/>
      <c r="I24" s="11"/>
      <c r="J24" s="11"/>
      <c r="K24" s="11"/>
      <c r="L24" s="11"/>
      <c r="M24" s="31"/>
      <c r="N24" s="11"/>
      <c r="O24" s="11"/>
      <c r="P24" s="11"/>
      <c r="Q24" s="11"/>
      <c r="R24" s="1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4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27" customHeight="1">
      <c r="A25" s="1"/>
      <c r="B25" s="22" t="s">
        <v>183</v>
      </c>
      <c r="C25" s="23"/>
      <c r="D25" s="23"/>
      <c r="E25" s="24"/>
      <c r="F25" s="143" t="s">
        <v>173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3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>
      <c r="A26" s="1"/>
      <c r="B26" s="25" t="s">
        <v>71</v>
      </c>
      <c r="C26" s="26"/>
      <c r="D26" s="26"/>
      <c r="E26" s="27"/>
      <c r="F26" s="28" t="s">
        <v>34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3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>
      <c r="A27" s="9"/>
      <c r="B27" s="9" t="s">
        <v>72</v>
      </c>
      <c r="C27" s="9"/>
      <c r="D27" s="3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</row>
    <row r="28" spans="1:85">
      <c r="A28" s="1"/>
      <c r="B28" s="1"/>
      <c r="C28" s="43" t="s">
        <v>73</v>
      </c>
      <c r="D28" s="1" t="s">
        <v>174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1"/>
      <c r="B29" s="1"/>
      <c r="C29" s="4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1"/>
      <c r="B30" s="1"/>
      <c r="C30" s="43"/>
      <c r="D30" s="1" t="s">
        <v>278</v>
      </c>
      <c r="E30" s="1"/>
      <c r="F30" s="1" t="s">
        <v>279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1"/>
      <c r="B32" s="1"/>
      <c r="C32" s="1"/>
      <c r="D32" s="1" t="s">
        <v>277</v>
      </c>
      <c r="E32" s="1"/>
      <c r="F32" s="1" t="s">
        <v>175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B34" s="1"/>
      <c r="C34" s="1"/>
      <c r="D34" s="1"/>
      <c r="E34" s="1"/>
      <c r="F34" s="1" t="s">
        <v>75</v>
      </c>
      <c r="G34" s="1"/>
      <c r="H34" s="1"/>
      <c r="I34" s="1"/>
      <c r="J34" s="1" t="s">
        <v>176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1"/>
      <c r="B35" s="1"/>
      <c r="C35" s="1"/>
      <c r="D35" s="1"/>
      <c r="E35" s="1"/>
      <c r="F35" s="2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B36" s="1"/>
      <c r="C36" s="1"/>
      <c r="D36" s="1"/>
      <c r="E36" s="1"/>
      <c r="F36" s="1" t="s">
        <v>182</v>
      </c>
      <c r="G36" s="1"/>
      <c r="H36" s="1"/>
      <c r="I36" s="1"/>
      <c r="J36" s="1" t="s">
        <v>274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>
      <c r="A38" s="1"/>
      <c r="B38" s="22" t="s">
        <v>69</v>
      </c>
      <c r="C38" s="23"/>
      <c r="D38" s="23"/>
      <c r="E38" s="24"/>
      <c r="F38" s="11" t="s">
        <v>177</v>
      </c>
      <c r="G38" s="11"/>
      <c r="H38" s="11"/>
      <c r="I38" s="11"/>
      <c r="J38" s="11"/>
      <c r="K38" s="11"/>
      <c r="L38" s="11"/>
      <c r="M38" s="31"/>
      <c r="N38" s="31"/>
      <c r="O38" s="31"/>
      <c r="P38" s="11"/>
      <c r="Q38" s="11"/>
      <c r="R38" s="1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4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>
      <c r="A39" s="1"/>
      <c r="B39" s="22" t="s">
        <v>70</v>
      </c>
      <c r="C39" s="23"/>
      <c r="D39" s="23"/>
      <c r="E39" s="24"/>
      <c r="F39" s="11" t="s">
        <v>178</v>
      </c>
      <c r="G39" s="11"/>
      <c r="H39" s="11"/>
      <c r="I39" s="11"/>
      <c r="J39" s="11"/>
      <c r="K39" s="11"/>
      <c r="L39" s="11"/>
      <c r="M39" s="31"/>
      <c r="N39" s="11"/>
      <c r="O39" s="11"/>
      <c r="P39" s="11"/>
      <c r="Q39" s="11"/>
      <c r="R39" s="1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4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27" customHeight="1">
      <c r="A40" s="1"/>
      <c r="B40" s="22" t="s">
        <v>183</v>
      </c>
      <c r="C40" s="23"/>
      <c r="D40" s="23"/>
      <c r="E40" s="24"/>
      <c r="F40" s="143" t="s">
        <v>181</v>
      </c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3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1"/>
      <c r="B41" s="25" t="s">
        <v>71</v>
      </c>
      <c r="C41" s="26"/>
      <c r="D41" s="26"/>
      <c r="E41" s="27"/>
      <c r="F41" s="28" t="s">
        <v>34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33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75" customHeight="1">
      <c r="A42" s="1"/>
      <c r="B42" s="9" t="s">
        <v>72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>
      <c r="A43" s="1"/>
      <c r="B43" s="1"/>
      <c r="C43" s="43" t="s">
        <v>73</v>
      </c>
      <c r="D43" s="1" t="s">
        <v>179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1"/>
      <c r="B44" s="1"/>
      <c r="C44" s="1"/>
      <c r="D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5.75" customHeight="1">
      <c r="A45" s="1"/>
      <c r="B45" s="1"/>
      <c r="C45" s="1"/>
      <c r="D45" s="1" t="s">
        <v>74</v>
      </c>
      <c r="E45" s="1"/>
      <c r="F45" s="1" t="s">
        <v>275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1"/>
      <c r="B47" s="1"/>
      <c r="C47" s="1"/>
      <c r="D47" s="1"/>
      <c r="E47" s="1"/>
      <c r="F47" s="1" t="s">
        <v>75</v>
      </c>
      <c r="G47" s="1"/>
      <c r="H47" s="1"/>
      <c r="I47" s="1"/>
      <c r="J47" s="1" t="s">
        <v>276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75" customHeight="1">
      <c r="A48" s="1"/>
      <c r="B48" s="1"/>
      <c r="C48" s="1"/>
      <c r="D48" s="1"/>
      <c r="E48" s="1"/>
      <c r="F48" s="2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B49" s="1"/>
      <c r="C49" s="1"/>
      <c r="D49" s="1"/>
      <c r="E49" s="1"/>
      <c r="F49" s="1" t="s">
        <v>182</v>
      </c>
      <c r="G49" s="1"/>
      <c r="H49" s="1"/>
      <c r="I49" s="1"/>
      <c r="J49" s="1" t="s">
        <v>180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</sheetData>
  <mergeCells count="15">
    <mergeCell ref="F25:AP25"/>
    <mergeCell ref="F40:AP40"/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001"/>
  <sheetViews>
    <sheetView showGridLines="0" tabSelected="1" topLeftCell="A31" workbookViewId="0">
      <selection activeCell="AM40" sqref="AM40:AZ40"/>
    </sheetView>
  </sheetViews>
  <sheetFormatPr defaultColWidth="14.44140625" defaultRowHeight="15" customHeight="1"/>
  <cols>
    <col min="1" max="51" width="2.33203125" customWidth="1"/>
    <col min="52" max="52" width="28.777343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5" t="s">
        <v>1</v>
      </c>
      <c r="G2" s="141"/>
      <c r="H2" s="141"/>
      <c r="I2" s="141"/>
      <c r="J2" s="141"/>
      <c r="K2" s="141"/>
      <c r="L2" s="141"/>
      <c r="M2" s="137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5" t="s">
        <v>3</v>
      </c>
      <c r="G3" s="141"/>
      <c r="H3" s="141"/>
      <c r="I3" s="141"/>
      <c r="J3" s="141"/>
      <c r="K3" s="141"/>
      <c r="L3" s="141"/>
      <c r="M3" s="137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6">
        <f>Header!AV3</f>
        <v>45840</v>
      </c>
      <c r="AW3" s="141"/>
      <c r="AX3" s="141"/>
      <c r="AY3" s="141"/>
      <c r="AZ3" s="141"/>
      <c r="BA3" s="141"/>
      <c r="BB3" s="141"/>
      <c r="BC3" s="141"/>
      <c r="BD3" s="141"/>
      <c r="BE3" s="141"/>
      <c r="BF3" s="137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5" t="s">
        <v>5</v>
      </c>
      <c r="G4" s="141"/>
      <c r="H4" s="141"/>
      <c r="I4" s="141"/>
      <c r="J4" s="141"/>
      <c r="K4" s="141"/>
      <c r="L4" s="141"/>
      <c r="M4" s="137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9">
        <f>Header!AV4</f>
        <v>0.1</v>
      </c>
      <c r="AW4" s="141"/>
      <c r="AX4" s="141"/>
      <c r="AY4" s="141"/>
      <c r="AZ4" s="141"/>
      <c r="BA4" s="141"/>
      <c r="BB4" s="141"/>
      <c r="BC4" s="141"/>
      <c r="BD4" s="141"/>
      <c r="BE4" s="141"/>
      <c r="BF4" s="137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5" t="s">
        <v>7</v>
      </c>
      <c r="G5" s="141"/>
      <c r="H5" s="141"/>
      <c r="I5" s="141"/>
      <c r="J5" s="141"/>
      <c r="K5" s="141"/>
      <c r="L5" s="141"/>
      <c r="M5" s="13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5" t="s">
        <v>9</v>
      </c>
      <c r="G6" s="141"/>
      <c r="H6" s="141"/>
      <c r="I6" s="141"/>
      <c r="J6" s="141"/>
      <c r="K6" s="141"/>
      <c r="L6" s="141"/>
      <c r="M6" s="137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6">
        <f>Header!AV6</f>
        <v>45840</v>
      </c>
      <c r="AW6" s="141"/>
      <c r="AX6" s="141"/>
      <c r="AY6" s="141"/>
      <c r="AZ6" s="141"/>
      <c r="BA6" s="141"/>
      <c r="BB6" s="141"/>
      <c r="BC6" s="141"/>
      <c r="BD6" s="141"/>
      <c r="BE6" s="141"/>
      <c r="BF6" s="137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5" t="s">
        <v>12</v>
      </c>
      <c r="G7" s="141"/>
      <c r="H7" s="141"/>
      <c r="I7" s="141"/>
      <c r="J7" s="141"/>
      <c r="K7" s="141"/>
      <c r="L7" s="141"/>
      <c r="M7" s="13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5" t="s">
        <v>13</v>
      </c>
      <c r="G8" s="141"/>
      <c r="H8" s="141"/>
      <c r="I8" s="141"/>
      <c r="J8" s="141"/>
      <c r="K8" s="141"/>
      <c r="L8" s="141"/>
      <c r="M8" s="137"/>
      <c r="N8" s="10" t="str">
        <f>Header!N8</f>
        <v>Create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98" t="s">
        <v>14</v>
      </c>
      <c r="G9" s="134"/>
      <c r="H9" s="134"/>
      <c r="I9" s="134"/>
      <c r="J9" s="134"/>
      <c r="K9" s="134"/>
      <c r="L9" s="134"/>
      <c r="M9" s="135"/>
      <c r="N9" s="110" t="str">
        <f>Header!N9</f>
        <v>Create new hotel with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message when creating success or failed.</v>
      </c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5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1"/>
      <c r="G10" s="155"/>
      <c r="H10" s="155"/>
      <c r="I10" s="155"/>
      <c r="J10" s="155"/>
      <c r="K10" s="155"/>
      <c r="L10" s="155"/>
      <c r="M10" s="156"/>
      <c r="N10" s="159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93" t="s">
        <v>22</v>
      </c>
      <c r="C13" s="135"/>
      <c r="D13" s="193" t="s">
        <v>78</v>
      </c>
      <c r="E13" s="134"/>
      <c r="F13" s="134"/>
      <c r="G13" s="134"/>
      <c r="H13" s="134"/>
      <c r="I13" s="134"/>
      <c r="J13" s="134"/>
      <c r="K13" s="134"/>
      <c r="L13" s="135"/>
      <c r="M13" s="194" t="s">
        <v>79</v>
      </c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37"/>
      <c r="AD13" s="195" t="s">
        <v>80</v>
      </c>
      <c r="AE13" s="134"/>
      <c r="AF13" s="134"/>
      <c r="AG13" s="134"/>
      <c r="AH13" s="134"/>
      <c r="AI13" s="134"/>
      <c r="AJ13" s="134"/>
      <c r="AK13" s="134"/>
      <c r="AL13" s="135"/>
      <c r="AM13" s="195" t="s">
        <v>81</v>
      </c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5"/>
      <c r="BA13" s="193" t="s">
        <v>82</v>
      </c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5"/>
    </row>
    <row r="14" spans="1:65" ht="29.25" customHeight="1">
      <c r="A14" s="9"/>
      <c r="B14" s="159"/>
      <c r="C14" s="156"/>
      <c r="D14" s="159"/>
      <c r="E14" s="155"/>
      <c r="F14" s="155"/>
      <c r="G14" s="155"/>
      <c r="H14" s="155"/>
      <c r="I14" s="155"/>
      <c r="J14" s="155"/>
      <c r="K14" s="155"/>
      <c r="L14" s="156"/>
      <c r="M14" s="194" t="s">
        <v>83</v>
      </c>
      <c r="N14" s="141"/>
      <c r="O14" s="141"/>
      <c r="P14" s="141"/>
      <c r="Q14" s="141"/>
      <c r="R14" s="141"/>
      <c r="S14" s="141"/>
      <c r="T14" s="141"/>
      <c r="U14" s="141"/>
      <c r="V14" s="141"/>
      <c r="W14" s="137"/>
      <c r="X14" s="194" t="s">
        <v>84</v>
      </c>
      <c r="Y14" s="141"/>
      <c r="Z14" s="141"/>
      <c r="AA14" s="141"/>
      <c r="AB14" s="141"/>
      <c r="AC14" s="137"/>
      <c r="AD14" s="159"/>
      <c r="AE14" s="155"/>
      <c r="AF14" s="155"/>
      <c r="AG14" s="155"/>
      <c r="AH14" s="155"/>
      <c r="AI14" s="155"/>
      <c r="AJ14" s="155"/>
      <c r="AK14" s="155"/>
      <c r="AL14" s="156"/>
      <c r="AM14" s="159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6"/>
      <c r="BA14" s="159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6"/>
    </row>
    <row r="15" spans="1:65" ht="26.4" customHeight="1">
      <c r="A15" s="9"/>
      <c r="B15" s="196">
        <v>1</v>
      </c>
      <c r="C15" s="197"/>
      <c r="D15" s="202" t="s">
        <v>212</v>
      </c>
      <c r="E15" s="203"/>
      <c r="F15" s="203"/>
      <c r="G15" s="203"/>
      <c r="H15" s="203"/>
      <c r="I15" s="203"/>
      <c r="J15" s="203"/>
      <c r="K15" s="203"/>
      <c r="L15" s="204"/>
      <c r="M15" s="175" t="s">
        <v>186</v>
      </c>
      <c r="N15" s="176"/>
      <c r="O15" s="176"/>
      <c r="P15" s="176"/>
      <c r="Q15" s="176"/>
      <c r="R15" s="176"/>
      <c r="S15" s="176"/>
      <c r="T15" s="176"/>
      <c r="U15" s="176"/>
      <c r="V15" s="176"/>
      <c r="W15" s="177"/>
      <c r="X15" s="187" t="s">
        <v>34</v>
      </c>
      <c r="Y15" s="188"/>
      <c r="Z15" s="188"/>
      <c r="AA15" s="188"/>
      <c r="AB15" s="188"/>
      <c r="AC15" s="189"/>
      <c r="AD15" s="184" t="s">
        <v>34</v>
      </c>
      <c r="AE15" s="185"/>
      <c r="AF15" s="185"/>
      <c r="AG15" s="185"/>
      <c r="AH15" s="185"/>
      <c r="AI15" s="185"/>
      <c r="AJ15" s="185"/>
      <c r="AK15" s="185"/>
      <c r="AL15" s="186"/>
      <c r="AM15" s="184" t="str">
        <f>SUBSTITUTE(SUBSTITUTE(VLOOKUP(M15, [1]Message!A2:F25, 6, FALSE), "[Item name]", D15), "[item name]", D15)</f>
        <v>*The name en field is required.</v>
      </c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6"/>
      <c r="BA15" s="184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6"/>
    </row>
    <row r="16" spans="1:65" ht="26.4" customHeight="1">
      <c r="A16" s="9"/>
      <c r="B16" s="198"/>
      <c r="C16" s="199"/>
      <c r="D16" s="205"/>
      <c r="E16" s="206"/>
      <c r="F16" s="206"/>
      <c r="G16" s="206"/>
      <c r="H16" s="206"/>
      <c r="I16" s="206"/>
      <c r="J16" s="206"/>
      <c r="K16" s="206"/>
      <c r="L16" s="207"/>
      <c r="M16" s="175" t="s">
        <v>213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7"/>
      <c r="X16" s="187" t="s">
        <v>34</v>
      </c>
      <c r="Y16" s="188"/>
      <c r="Z16" s="188"/>
      <c r="AA16" s="188"/>
      <c r="AB16" s="188"/>
      <c r="AC16" s="189"/>
      <c r="AD16" s="184" t="s">
        <v>34</v>
      </c>
      <c r="AE16" s="185"/>
      <c r="AF16" s="185"/>
      <c r="AG16" s="185"/>
      <c r="AH16" s="185"/>
      <c r="AI16" s="185"/>
      <c r="AJ16" s="185"/>
      <c r="AK16" s="185"/>
      <c r="AL16" s="186"/>
      <c r="AM16" s="184" t="str">
        <f>SUBSTITUTE(SUBSTITUTE(VLOOKUP(M16,[1]Message!A2:F25, 6, FALSE), "[Item name]", D15), "[item name]", D15)</f>
        <v>*The name en has already been taken.</v>
      </c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6"/>
      <c r="BA16" s="54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6"/>
    </row>
    <row r="17" spans="1:65" ht="25.2" customHeight="1">
      <c r="A17" s="9"/>
      <c r="B17" s="198"/>
      <c r="C17" s="199"/>
      <c r="D17" s="205"/>
      <c r="E17" s="206"/>
      <c r="F17" s="206"/>
      <c r="G17" s="206"/>
      <c r="H17" s="206"/>
      <c r="I17" s="206"/>
      <c r="J17" s="206"/>
      <c r="K17" s="206"/>
      <c r="L17" s="207"/>
      <c r="M17" s="175" t="s">
        <v>187</v>
      </c>
      <c r="N17" s="176"/>
      <c r="O17" s="176"/>
      <c r="P17" s="176"/>
      <c r="Q17" s="176"/>
      <c r="R17" s="176"/>
      <c r="S17" s="176"/>
      <c r="T17" s="176"/>
      <c r="U17" s="176"/>
      <c r="V17" s="176"/>
      <c r="W17" s="177"/>
      <c r="X17" s="178" t="s">
        <v>184</v>
      </c>
      <c r="Y17" s="179"/>
      <c r="Z17" s="179"/>
      <c r="AA17" s="179"/>
      <c r="AB17" s="179"/>
      <c r="AC17" s="180"/>
      <c r="AD17" s="181" t="s">
        <v>34</v>
      </c>
      <c r="AE17" s="182"/>
      <c r="AF17" s="182"/>
      <c r="AG17" s="182"/>
      <c r="AH17" s="182"/>
      <c r="AI17" s="182"/>
      <c r="AJ17" s="182"/>
      <c r="AK17" s="182"/>
      <c r="AL17" s="183"/>
      <c r="AM17" s="184" t="str">
        <f>SUBSTITUTE(SUBSTITUTE(VLOOKUP(M17, [1]Message!A2:F25, 6, FALSE), "[Item name]", D15), "[Range value]", MID(X17, FIND(":", X17) + 1, LEN(X17)))</f>
        <v>*The name en must not be greater than 255 characters.</v>
      </c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6"/>
      <c r="BA17" s="181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3"/>
    </row>
    <row r="18" spans="1:65" ht="26.4" customHeight="1">
      <c r="A18" s="9"/>
      <c r="B18" s="200"/>
      <c r="C18" s="201"/>
      <c r="D18" s="208"/>
      <c r="E18" s="209"/>
      <c r="F18" s="209"/>
      <c r="G18" s="209"/>
      <c r="H18" s="209"/>
      <c r="I18" s="209"/>
      <c r="J18" s="209"/>
      <c r="K18" s="209"/>
      <c r="L18" s="210"/>
      <c r="M18" s="175" t="s">
        <v>214</v>
      </c>
      <c r="N18" s="176"/>
      <c r="O18" s="176"/>
      <c r="P18" s="176"/>
      <c r="Q18" s="176"/>
      <c r="R18" s="176"/>
      <c r="S18" s="176"/>
      <c r="T18" s="176"/>
      <c r="U18" s="176"/>
      <c r="V18" s="176"/>
      <c r="W18" s="177"/>
      <c r="X18" s="178" t="s">
        <v>34</v>
      </c>
      <c r="Y18" s="179"/>
      <c r="Z18" s="179"/>
      <c r="AA18" s="179"/>
      <c r="AB18" s="179"/>
      <c r="AC18" s="180"/>
      <c r="AD18" s="181" t="s">
        <v>34</v>
      </c>
      <c r="AE18" s="182"/>
      <c r="AF18" s="182"/>
      <c r="AG18" s="182"/>
      <c r="AH18" s="182"/>
      <c r="AI18" s="182"/>
      <c r="AJ18" s="182"/>
      <c r="AK18" s="182"/>
      <c r="AL18" s="183"/>
      <c r="AM18" s="184" t="str">
        <f>SUBSTITUTE(SUBSTITUTE(VLOOKUP(M18, [1]Message!A2:F25, 6, FALSE), "[Item name]", D15), "[item name]", D15)</f>
        <v>*The name en must only contain letters, numbers and space.</v>
      </c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6"/>
      <c r="BA18" s="181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3"/>
    </row>
    <row r="19" spans="1:65" ht="26.4" customHeight="1">
      <c r="A19" s="9"/>
      <c r="B19" s="196">
        <v>2</v>
      </c>
      <c r="C19" s="197"/>
      <c r="D19" s="202" t="s">
        <v>215</v>
      </c>
      <c r="E19" s="203"/>
      <c r="F19" s="203"/>
      <c r="G19" s="203"/>
      <c r="H19" s="203"/>
      <c r="I19" s="203"/>
      <c r="J19" s="203"/>
      <c r="K19" s="203"/>
      <c r="L19" s="204"/>
      <c r="M19" s="175" t="s">
        <v>186</v>
      </c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87" t="s">
        <v>34</v>
      </c>
      <c r="Y19" s="188"/>
      <c r="Z19" s="188"/>
      <c r="AA19" s="188"/>
      <c r="AB19" s="188"/>
      <c r="AC19" s="189"/>
      <c r="AD19" s="184" t="s">
        <v>34</v>
      </c>
      <c r="AE19" s="185"/>
      <c r="AF19" s="185"/>
      <c r="AG19" s="185"/>
      <c r="AH19" s="185"/>
      <c r="AI19" s="185"/>
      <c r="AJ19" s="185"/>
      <c r="AK19" s="185"/>
      <c r="AL19" s="186"/>
      <c r="AM19" s="184" t="str">
        <f>SUBSTITUTE(SUBSTITUTE(VLOOKUP(M19, [1]Message!A2:F25, 6, FALSE), "[Item name]", D19), "[item name]", D19)</f>
        <v>*The name jp field is required.</v>
      </c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6"/>
      <c r="BA19" s="184"/>
      <c r="BB19" s="185"/>
      <c r="BC19" s="185"/>
      <c r="BD19" s="185"/>
      <c r="BE19" s="185"/>
      <c r="BF19" s="185"/>
      <c r="BG19" s="185"/>
      <c r="BH19" s="185"/>
      <c r="BI19" s="185"/>
      <c r="BJ19" s="185"/>
      <c r="BK19" s="185"/>
      <c r="BL19" s="185"/>
      <c r="BM19" s="186"/>
    </row>
    <row r="20" spans="1:65" ht="25.2" customHeight="1">
      <c r="A20" s="9"/>
      <c r="B20" s="198"/>
      <c r="C20" s="199"/>
      <c r="D20" s="205"/>
      <c r="E20" s="206"/>
      <c r="F20" s="206"/>
      <c r="G20" s="206"/>
      <c r="H20" s="206"/>
      <c r="I20" s="206"/>
      <c r="J20" s="206"/>
      <c r="K20" s="206"/>
      <c r="L20" s="207"/>
      <c r="M20" s="175" t="s">
        <v>213</v>
      </c>
      <c r="N20" s="176"/>
      <c r="O20" s="176"/>
      <c r="P20" s="176"/>
      <c r="Q20" s="176"/>
      <c r="R20" s="176"/>
      <c r="S20" s="176"/>
      <c r="T20" s="176"/>
      <c r="U20" s="176"/>
      <c r="V20" s="176"/>
      <c r="W20" s="177"/>
      <c r="X20" s="187" t="s">
        <v>34</v>
      </c>
      <c r="Y20" s="188"/>
      <c r="Z20" s="188"/>
      <c r="AA20" s="188"/>
      <c r="AB20" s="188"/>
      <c r="AC20" s="189"/>
      <c r="AD20" s="184" t="s">
        <v>34</v>
      </c>
      <c r="AE20" s="185"/>
      <c r="AF20" s="185"/>
      <c r="AG20" s="185"/>
      <c r="AH20" s="185"/>
      <c r="AI20" s="185"/>
      <c r="AJ20" s="185"/>
      <c r="AK20" s="185"/>
      <c r="AL20" s="186"/>
      <c r="AM20" s="184" t="str">
        <f>SUBSTITUTE(SUBSTITUTE(VLOOKUP(M20, [1]Message!A2:F25, 6, FALSE), "[Item name]", D19), "[item name]", D19)</f>
        <v>*The name jp has already been taken.</v>
      </c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6"/>
      <c r="BA20" s="54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6"/>
    </row>
    <row r="21" spans="1:65" ht="26.4" customHeight="1">
      <c r="A21" s="9"/>
      <c r="B21" s="198"/>
      <c r="C21" s="199"/>
      <c r="D21" s="205"/>
      <c r="E21" s="206"/>
      <c r="F21" s="206"/>
      <c r="G21" s="206"/>
      <c r="H21" s="206"/>
      <c r="I21" s="206"/>
      <c r="J21" s="206"/>
      <c r="K21" s="206"/>
      <c r="L21" s="207"/>
      <c r="M21" s="175" t="s">
        <v>187</v>
      </c>
      <c r="N21" s="176"/>
      <c r="O21" s="176"/>
      <c r="P21" s="176"/>
      <c r="Q21" s="176"/>
      <c r="R21" s="176"/>
      <c r="S21" s="176"/>
      <c r="T21" s="176"/>
      <c r="U21" s="176"/>
      <c r="V21" s="176"/>
      <c r="W21" s="177"/>
      <c r="X21" s="178" t="s">
        <v>184</v>
      </c>
      <c r="Y21" s="179"/>
      <c r="Z21" s="179"/>
      <c r="AA21" s="179"/>
      <c r="AB21" s="179"/>
      <c r="AC21" s="180"/>
      <c r="AD21" s="181" t="s">
        <v>34</v>
      </c>
      <c r="AE21" s="182"/>
      <c r="AF21" s="182"/>
      <c r="AG21" s="182"/>
      <c r="AH21" s="182"/>
      <c r="AI21" s="182"/>
      <c r="AJ21" s="182"/>
      <c r="AK21" s="182"/>
      <c r="AL21" s="183"/>
      <c r="AM21" s="184" t="str">
        <f>SUBSTITUTE(SUBSTITUTE(VLOOKUP(M21,[1]Message!A2:F25, 6, FALSE), "[Item name]", D19), "[Range value]", MID(X21, FIND(":", X21) + 1, LEN(X21)))</f>
        <v>*The name jp must not be greater than 255 characters.</v>
      </c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6"/>
      <c r="BA21" s="181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3"/>
    </row>
    <row r="22" spans="1:65" ht="26.4" customHeight="1">
      <c r="A22" s="9"/>
      <c r="B22" s="200"/>
      <c r="C22" s="201"/>
      <c r="D22" s="208"/>
      <c r="E22" s="209"/>
      <c r="F22" s="209"/>
      <c r="G22" s="209"/>
      <c r="H22" s="209"/>
      <c r="I22" s="209"/>
      <c r="J22" s="209"/>
      <c r="K22" s="209"/>
      <c r="L22" s="210"/>
      <c r="M22" s="175" t="s">
        <v>214</v>
      </c>
      <c r="N22" s="176"/>
      <c r="O22" s="176"/>
      <c r="P22" s="176"/>
      <c r="Q22" s="176"/>
      <c r="R22" s="176"/>
      <c r="S22" s="176"/>
      <c r="T22" s="176"/>
      <c r="U22" s="176"/>
      <c r="V22" s="176"/>
      <c r="W22" s="177"/>
      <c r="X22" s="187" t="s">
        <v>34</v>
      </c>
      <c r="Y22" s="188"/>
      <c r="Z22" s="188"/>
      <c r="AA22" s="188"/>
      <c r="AB22" s="188"/>
      <c r="AC22" s="189"/>
      <c r="AD22" s="184" t="s">
        <v>34</v>
      </c>
      <c r="AE22" s="185"/>
      <c r="AF22" s="185"/>
      <c r="AG22" s="185"/>
      <c r="AH22" s="185"/>
      <c r="AI22" s="185"/>
      <c r="AJ22" s="185"/>
      <c r="AK22" s="185"/>
      <c r="AL22" s="186"/>
      <c r="AM22" s="184" t="str">
        <f>SUBSTITUTE(SUBSTITUTE(VLOOKUP(M22, [1]Message!A2:F25, 6, FALSE), "[Item name]", D19), "[Item name]", D19)</f>
        <v>*The name jp must only contain letters, numbers and space.</v>
      </c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6"/>
      <c r="BA22" s="184"/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5"/>
      <c r="BM22" s="186"/>
    </row>
    <row r="23" spans="1:65" ht="25.2" customHeight="1">
      <c r="A23" s="9"/>
      <c r="B23" s="211">
        <v>3</v>
      </c>
      <c r="C23" s="212"/>
      <c r="D23" s="215" t="s">
        <v>271</v>
      </c>
      <c r="E23" s="216"/>
      <c r="F23" s="216"/>
      <c r="G23" s="216"/>
      <c r="H23" s="216"/>
      <c r="I23" s="216"/>
      <c r="J23" s="216"/>
      <c r="K23" s="216"/>
      <c r="L23" s="217"/>
      <c r="M23" s="175" t="s">
        <v>186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7"/>
      <c r="X23" s="187" t="s">
        <v>34</v>
      </c>
      <c r="Y23" s="188"/>
      <c r="Z23" s="188"/>
      <c r="AA23" s="188"/>
      <c r="AB23" s="188"/>
      <c r="AC23" s="189"/>
      <c r="AD23" s="184" t="s">
        <v>34</v>
      </c>
      <c r="AE23" s="185"/>
      <c r="AF23" s="185"/>
      <c r="AG23" s="185"/>
      <c r="AH23" s="185"/>
      <c r="AI23" s="185"/>
      <c r="AJ23" s="185"/>
      <c r="AK23" s="185"/>
      <c r="AL23" s="186"/>
      <c r="AM23" s="184" t="str">
        <f>SUBSTITUTE(SUBSTITUTE(VLOOKUP(M23, [1]Message!A2:F25, 6, FALSE), "[Item name]", D23), "[item name]", D23)</f>
        <v>*The city id field is required.</v>
      </c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6"/>
      <c r="BA23" s="184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6"/>
    </row>
    <row r="24" spans="1:65" ht="26.4" customHeight="1">
      <c r="A24" s="9"/>
      <c r="B24" s="198"/>
      <c r="C24" s="199"/>
      <c r="D24" s="205"/>
      <c r="E24" s="206"/>
      <c r="F24" s="206"/>
      <c r="G24" s="206"/>
      <c r="H24" s="206"/>
      <c r="I24" s="206"/>
      <c r="J24" s="206"/>
      <c r="K24" s="206"/>
      <c r="L24" s="207"/>
      <c r="M24" s="175" t="s">
        <v>216</v>
      </c>
      <c r="N24" s="176"/>
      <c r="O24" s="176"/>
      <c r="P24" s="176"/>
      <c r="Q24" s="176"/>
      <c r="R24" s="176"/>
      <c r="S24" s="176"/>
      <c r="T24" s="176"/>
      <c r="U24" s="176"/>
      <c r="V24" s="176"/>
      <c r="W24" s="177"/>
      <c r="X24" s="187" t="s">
        <v>217</v>
      </c>
      <c r="Y24" s="188"/>
      <c r="Z24" s="188"/>
      <c r="AA24" s="188"/>
      <c r="AB24" s="188"/>
      <c r="AC24" s="189"/>
      <c r="AD24" s="184" t="s">
        <v>34</v>
      </c>
      <c r="AE24" s="185"/>
      <c r="AF24" s="185"/>
      <c r="AG24" s="185"/>
      <c r="AH24" s="185"/>
      <c r="AI24" s="185"/>
      <c r="AJ24" s="185"/>
      <c r="AK24" s="185"/>
      <c r="AL24" s="186"/>
      <c r="AM24" s="184" t="str">
        <f>SUBSTITUTE(SUBSTITUTE(VLOOKUP(M24, Message!A2:F27, 6, FALSE), "[Item name]", D23), "[Database]", MID(X24, SEARCH(":", X24) + 1, LEN(X24) - SEARCH(":", X24)))</f>
        <v>*The city id value is not exists in database City.</v>
      </c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6"/>
      <c r="BA24" s="184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6"/>
    </row>
    <row r="25" spans="1:65" ht="25.2" customHeight="1">
      <c r="A25" s="9"/>
      <c r="B25" s="213"/>
      <c r="C25" s="214"/>
      <c r="D25" s="218"/>
      <c r="E25" s="219"/>
      <c r="F25" s="219"/>
      <c r="G25" s="219"/>
      <c r="H25" s="219"/>
      <c r="I25" s="219"/>
      <c r="J25" s="219"/>
      <c r="K25" s="219"/>
      <c r="L25" s="220"/>
      <c r="M25" s="175" t="s">
        <v>195</v>
      </c>
      <c r="N25" s="176"/>
      <c r="O25" s="176"/>
      <c r="P25" s="176"/>
      <c r="Q25" s="176"/>
      <c r="R25" s="176"/>
      <c r="S25" s="176"/>
      <c r="T25" s="176"/>
      <c r="U25" s="176"/>
      <c r="V25" s="176"/>
      <c r="W25" s="177"/>
      <c r="X25" s="187" t="s">
        <v>34</v>
      </c>
      <c r="Y25" s="188"/>
      <c r="Z25" s="188"/>
      <c r="AA25" s="188"/>
      <c r="AB25" s="188"/>
      <c r="AC25" s="189"/>
      <c r="AD25" s="184" t="s">
        <v>34</v>
      </c>
      <c r="AE25" s="185"/>
      <c r="AF25" s="185"/>
      <c r="AG25" s="185"/>
      <c r="AH25" s="185"/>
      <c r="AI25" s="185"/>
      <c r="AJ25" s="185"/>
      <c r="AK25" s="185"/>
      <c r="AL25" s="186"/>
      <c r="AM25" s="184" t="str">
        <f>SUBSTITUTE(SUBSTITUTE(VLOOKUP(M25, [1]Message!A3:F26, 6, FALSE), "[Item name]", D23), "[Item name]", D23)</f>
        <v>*The city id must be a number.</v>
      </c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6"/>
      <c r="BA25" s="184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6"/>
    </row>
    <row r="26" spans="1:65" ht="26.4" customHeight="1">
      <c r="A26" s="9"/>
      <c r="B26" s="196">
        <v>4</v>
      </c>
      <c r="C26" s="197"/>
      <c r="D26" s="202" t="s">
        <v>268</v>
      </c>
      <c r="E26" s="203"/>
      <c r="F26" s="203"/>
      <c r="G26" s="203"/>
      <c r="H26" s="203"/>
      <c r="I26" s="203"/>
      <c r="J26" s="203"/>
      <c r="K26" s="203"/>
      <c r="L26" s="204"/>
      <c r="M26" s="175" t="s">
        <v>186</v>
      </c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7" t="s">
        <v>34</v>
      </c>
      <c r="Y26" s="188"/>
      <c r="Z26" s="188"/>
      <c r="AA26" s="188"/>
      <c r="AB26" s="188"/>
      <c r="AC26" s="189"/>
      <c r="AD26" s="184" t="s">
        <v>34</v>
      </c>
      <c r="AE26" s="185"/>
      <c r="AF26" s="185"/>
      <c r="AG26" s="185"/>
      <c r="AH26" s="185"/>
      <c r="AI26" s="185"/>
      <c r="AJ26" s="185"/>
      <c r="AK26" s="185"/>
      <c r="AL26" s="186"/>
      <c r="AM26" s="184" t="str">
        <f>SUBSTITUTE(SUBSTITUTE(VLOOKUP(M26, [1]Message!A2:F25, 6, FALSE), "[Item name]", D26), "[item name]", D26)</f>
        <v>*The hotel code field is required.</v>
      </c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6"/>
      <c r="BA26" s="184"/>
      <c r="BB26" s="185"/>
      <c r="BC26" s="185"/>
      <c r="BD26" s="185"/>
      <c r="BE26" s="185"/>
      <c r="BF26" s="185"/>
      <c r="BG26" s="185"/>
      <c r="BH26" s="185"/>
      <c r="BI26" s="185"/>
      <c r="BJ26" s="185"/>
      <c r="BK26" s="185"/>
      <c r="BL26" s="185"/>
      <c r="BM26" s="186"/>
    </row>
    <row r="27" spans="1:65" ht="26.4" customHeight="1">
      <c r="A27" s="9"/>
      <c r="B27" s="198"/>
      <c r="C27" s="199"/>
      <c r="D27" s="205"/>
      <c r="E27" s="206"/>
      <c r="F27" s="206"/>
      <c r="G27" s="206"/>
      <c r="H27" s="206"/>
      <c r="I27" s="206"/>
      <c r="J27" s="206"/>
      <c r="K27" s="206"/>
      <c r="L27" s="207"/>
      <c r="M27" s="190" t="s">
        <v>191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2"/>
      <c r="X27" s="178" t="s">
        <v>218</v>
      </c>
      <c r="Y27" s="179"/>
      <c r="Z27" s="179"/>
      <c r="AA27" s="179"/>
      <c r="AB27" s="179"/>
      <c r="AC27" s="180"/>
      <c r="AD27" s="181" t="s">
        <v>34</v>
      </c>
      <c r="AE27" s="182"/>
      <c r="AF27" s="182"/>
      <c r="AG27" s="182"/>
      <c r="AH27" s="182"/>
      <c r="AI27" s="182"/>
      <c r="AJ27" s="182"/>
      <c r="AK27" s="182"/>
      <c r="AL27" s="183"/>
      <c r="AM27" s="181" t="str">
        <f>SUBSTITUTE(SUBSTITUTE(VLOOKUP(M27, [1]Message!A2:F25, 6, FALSE), "[Item name]", D26), "[Range value]", MID(X27, FIND(":", X27) + 1, LEN(X27)))</f>
        <v>*The hotel code must be 6 characters.</v>
      </c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3"/>
      <c r="BA27" s="51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3"/>
    </row>
    <row r="28" spans="1:65" ht="25.2" customHeight="1">
      <c r="A28" s="9"/>
      <c r="B28" s="198"/>
      <c r="C28" s="199"/>
      <c r="D28" s="205"/>
      <c r="E28" s="206"/>
      <c r="F28" s="206"/>
      <c r="G28" s="206"/>
      <c r="H28" s="206"/>
      <c r="I28" s="206"/>
      <c r="J28" s="206"/>
      <c r="K28" s="206"/>
      <c r="L28" s="207"/>
      <c r="M28" s="190" t="s">
        <v>194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2"/>
      <c r="X28" s="178" t="s">
        <v>34</v>
      </c>
      <c r="Y28" s="179"/>
      <c r="Z28" s="179"/>
      <c r="AA28" s="179"/>
      <c r="AB28" s="179"/>
      <c r="AC28" s="180"/>
      <c r="AD28" s="181" t="s">
        <v>34</v>
      </c>
      <c r="AE28" s="182"/>
      <c r="AF28" s="182"/>
      <c r="AG28" s="182"/>
      <c r="AH28" s="182"/>
      <c r="AI28" s="182"/>
      <c r="AJ28" s="182"/>
      <c r="AK28" s="182"/>
      <c r="AL28" s="183"/>
      <c r="AM28" s="181" t="str">
        <f>SUBSTITUTE(SUBSTITUTE(VLOOKUP(M28,[1]Message!A2:F25, 6, FALSE), "[Item name]", D26), "[item name]", D26)</f>
        <v>*The hotel code must only contain letters and numbers.</v>
      </c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3"/>
      <c r="BA28" s="51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3"/>
    </row>
    <row r="29" spans="1:65" ht="26.4" customHeight="1">
      <c r="A29" s="9"/>
      <c r="B29" s="200"/>
      <c r="C29" s="201"/>
      <c r="D29" s="208"/>
      <c r="E29" s="209"/>
      <c r="F29" s="209"/>
      <c r="G29" s="209"/>
      <c r="H29" s="209"/>
      <c r="I29" s="209"/>
      <c r="J29" s="209"/>
      <c r="K29" s="209"/>
      <c r="L29" s="210"/>
      <c r="M29" s="190" t="s">
        <v>213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2"/>
      <c r="X29" s="178" t="s">
        <v>34</v>
      </c>
      <c r="Y29" s="179"/>
      <c r="Z29" s="179"/>
      <c r="AA29" s="179"/>
      <c r="AB29" s="179"/>
      <c r="AC29" s="180"/>
      <c r="AD29" s="181" t="s">
        <v>34</v>
      </c>
      <c r="AE29" s="182"/>
      <c r="AF29" s="182"/>
      <c r="AG29" s="182"/>
      <c r="AH29" s="182"/>
      <c r="AI29" s="182"/>
      <c r="AJ29" s="182"/>
      <c r="AK29" s="182"/>
      <c r="AL29" s="183"/>
      <c r="AM29" s="181" t="str">
        <f>SUBSTITUTE(SUBSTITUTE(VLOOKUP(M29, [1]Message!A13:F36, 6, FALSE), "[Item name]", D26), "[item name]", D26)</f>
        <v>*The hotel code has already been taken.</v>
      </c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3"/>
      <c r="BA29" s="51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3"/>
    </row>
    <row r="30" spans="1:65" ht="26.4" customHeight="1">
      <c r="A30" s="9"/>
      <c r="B30" s="196">
        <v>5</v>
      </c>
      <c r="C30" s="197"/>
      <c r="D30" s="202" t="s">
        <v>269</v>
      </c>
      <c r="E30" s="203"/>
      <c r="F30" s="203"/>
      <c r="G30" s="203"/>
      <c r="H30" s="203"/>
      <c r="I30" s="203"/>
      <c r="J30" s="203"/>
      <c r="K30" s="203"/>
      <c r="L30" s="204"/>
      <c r="M30" s="175" t="s">
        <v>186</v>
      </c>
      <c r="N30" s="176"/>
      <c r="O30" s="176"/>
      <c r="P30" s="176"/>
      <c r="Q30" s="176"/>
      <c r="R30" s="176"/>
      <c r="S30" s="176"/>
      <c r="T30" s="176"/>
      <c r="U30" s="176"/>
      <c r="V30" s="176"/>
      <c r="W30" s="177"/>
      <c r="X30" s="187" t="s">
        <v>34</v>
      </c>
      <c r="Y30" s="188"/>
      <c r="Z30" s="188"/>
      <c r="AA30" s="188"/>
      <c r="AB30" s="188"/>
      <c r="AC30" s="189"/>
      <c r="AD30" s="184" t="s">
        <v>34</v>
      </c>
      <c r="AE30" s="185"/>
      <c r="AF30" s="185"/>
      <c r="AG30" s="185"/>
      <c r="AH30" s="185"/>
      <c r="AI30" s="185"/>
      <c r="AJ30" s="185"/>
      <c r="AK30" s="185"/>
      <c r="AL30" s="186"/>
      <c r="AM30" s="184" t="str">
        <f>SUBSTITUTE(SUBSTITUTE(VLOOKUP(M30, [1]Message!A2:F25, 6, FALSE), "[Item name]", D30), "[item name]", D30)</f>
        <v>*The company name field is required.</v>
      </c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6"/>
      <c r="BA30" s="184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6"/>
    </row>
    <row r="31" spans="1:65" ht="26.4" customHeight="1">
      <c r="A31" s="9"/>
      <c r="B31" s="198"/>
      <c r="C31" s="199"/>
      <c r="D31" s="205"/>
      <c r="E31" s="206"/>
      <c r="F31" s="206"/>
      <c r="G31" s="206"/>
      <c r="H31" s="206"/>
      <c r="I31" s="206"/>
      <c r="J31" s="206"/>
      <c r="K31" s="206"/>
      <c r="L31" s="207"/>
      <c r="M31" s="175" t="s">
        <v>187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7"/>
      <c r="X31" s="187" t="s">
        <v>184</v>
      </c>
      <c r="Y31" s="188"/>
      <c r="Z31" s="188"/>
      <c r="AA31" s="188"/>
      <c r="AB31" s="188"/>
      <c r="AC31" s="189"/>
      <c r="AD31" s="184" t="s">
        <v>34</v>
      </c>
      <c r="AE31" s="185"/>
      <c r="AF31" s="185"/>
      <c r="AG31" s="185"/>
      <c r="AH31" s="185"/>
      <c r="AI31" s="185"/>
      <c r="AJ31" s="185"/>
      <c r="AK31" s="185"/>
      <c r="AL31" s="186"/>
      <c r="AM31" s="184" t="str">
        <f>SUBSTITUTE(SUBSTITUTE(VLOOKUP(M31, [1]Message!A2:F25, 6, FALSE), "[Item name]", D30), "[Range value]", MID(X31, FIND(":", X31) + 1, LEN(X31)))</f>
        <v>*The company name must not be greater than 255 characters.</v>
      </c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6"/>
      <c r="BA31" s="54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6"/>
    </row>
    <row r="32" spans="1:65" ht="26.4" customHeight="1">
      <c r="A32" s="9"/>
      <c r="B32" s="196">
        <v>6</v>
      </c>
      <c r="C32" s="197"/>
      <c r="D32" s="202" t="s">
        <v>219</v>
      </c>
      <c r="E32" s="203"/>
      <c r="F32" s="203"/>
      <c r="G32" s="203"/>
      <c r="H32" s="203"/>
      <c r="I32" s="203"/>
      <c r="J32" s="203"/>
      <c r="K32" s="203"/>
      <c r="L32" s="204"/>
      <c r="M32" s="190" t="s">
        <v>186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2"/>
      <c r="X32" s="178" t="s">
        <v>34</v>
      </c>
      <c r="Y32" s="179"/>
      <c r="Z32" s="179"/>
      <c r="AA32" s="179"/>
      <c r="AB32" s="179"/>
      <c r="AC32" s="180"/>
      <c r="AD32" s="181" t="s">
        <v>34</v>
      </c>
      <c r="AE32" s="182"/>
      <c r="AF32" s="182"/>
      <c r="AG32" s="182"/>
      <c r="AH32" s="182"/>
      <c r="AI32" s="182"/>
      <c r="AJ32" s="182"/>
      <c r="AK32" s="182"/>
      <c r="AL32" s="183"/>
      <c r="AM32" s="181" t="str">
        <f xml:space="preserve"> SUBSTITUTE( SUBSTITUTE(VLOOKUP(M32,[1]Message!A2:F25, 6, FALSE), "[Item name]",D32), "[item name]",D32)</f>
        <v>*The email field is required.</v>
      </c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3"/>
      <c r="BA32" s="51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3"/>
    </row>
    <row r="33" spans="1:65" ht="25.2" customHeight="1">
      <c r="A33" s="9"/>
      <c r="B33" s="198"/>
      <c r="C33" s="199"/>
      <c r="D33" s="205"/>
      <c r="E33" s="206"/>
      <c r="F33" s="206"/>
      <c r="G33" s="206"/>
      <c r="H33" s="206"/>
      <c r="I33" s="206"/>
      <c r="J33" s="206"/>
      <c r="K33" s="206"/>
      <c r="L33" s="207"/>
      <c r="M33" s="175" t="s">
        <v>187</v>
      </c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78" t="s">
        <v>184</v>
      </c>
      <c r="Y33" s="179"/>
      <c r="Z33" s="179"/>
      <c r="AA33" s="179"/>
      <c r="AB33" s="179"/>
      <c r="AC33" s="180"/>
      <c r="AD33" s="181" t="s">
        <v>34</v>
      </c>
      <c r="AE33" s="182"/>
      <c r="AF33" s="182"/>
      <c r="AG33" s="182"/>
      <c r="AH33" s="182"/>
      <c r="AI33" s="182"/>
      <c r="AJ33" s="182"/>
      <c r="AK33" s="182"/>
      <c r="AL33" s="183"/>
      <c r="AM33" s="184" t="str">
        <f>SUBSTITUTE(SUBSTITUTE(VLOOKUP(M33, Message!A2:F25, 6, FALSE), "[Item name]", D32), "[Range value]", MID(X33, FIND(":", X33) + 1, LEN(X33)))</f>
        <v>*The email must not be greater than 255 characters.</v>
      </c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6"/>
      <c r="BA33" s="181"/>
      <c r="BB33" s="182"/>
      <c r="BC33" s="182"/>
      <c r="BD33" s="182"/>
      <c r="BE33" s="182"/>
      <c r="BF33" s="182"/>
      <c r="BG33" s="182"/>
      <c r="BH33" s="182"/>
      <c r="BI33" s="182"/>
      <c r="BJ33" s="182"/>
      <c r="BK33" s="182"/>
      <c r="BL33" s="182"/>
      <c r="BM33" s="183"/>
    </row>
    <row r="34" spans="1:65" ht="25.2" customHeight="1">
      <c r="A34" s="9"/>
      <c r="B34" s="200"/>
      <c r="C34" s="201"/>
      <c r="D34" s="208"/>
      <c r="E34" s="209"/>
      <c r="F34" s="209"/>
      <c r="G34" s="209"/>
      <c r="H34" s="209"/>
      <c r="I34" s="209"/>
      <c r="J34" s="209"/>
      <c r="K34" s="209"/>
      <c r="L34" s="210"/>
      <c r="M34" s="175" t="s">
        <v>197</v>
      </c>
      <c r="N34" s="176"/>
      <c r="O34" s="176"/>
      <c r="P34" s="176"/>
      <c r="Q34" s="176"/>
      <c r="R34" s="176"/>
      <c r="S34" s="176"/>
      <c r="T34" s="176"/>
      <c r="U34" s="176"/>
      <c r="V34" s="176"/>
      <c r="W34" s="177"/>
      <c r="X34" s="178" t="s">
        <v>34</v>
      </c>
      <c r="Y34" s="179"/>
      <c r="Z34" s="179"/>
      <c r="AA34" s="179"/>
      <c r="AB34" s="179"/>
      <c r="AC34" s="180"/>
      <c r="AD34" s="181" t="s">
        <v>34</v>
      </c>
      <c r="AE34" s="182"/>
      <c r="AF34" s="182"/>
      <c r="AG34" s="182"/>
      <c r="AH34" s="182"/>
      <c r="AI34" s="182"/>
      <c r="AJ34" s="182"/>
      <c r="AK34" s="182"/>
      <c r="AL34" s="183"/>
      <c r="AM34" s="184" t="str">
        <f>SUBSTITUTE(SUBSTITUTE(VLOOKUP(M34, [1]Message!A2:F25, 6, FALSE), "[Item name]", D32), "[item name]", D32)</f>
        <v>*The email field must be a valid email address.</v>
      </c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6"/>
      <c r="BA34" s="181"/>
      <c r="BB34" s="182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3"/>
    </row>
    <row r="35" spans="1:65" ht="26.4" customHeight="1">
      <c r="A35" s="9"/>
      <c r="B35" s="196">
        <v>7</v>
      </c>
      <c r="C35" s="197"/>
      <c r="D35" s="202" t="s">
        <v>220</v>
      </c>
      <c r="E35" s="203"/>
      <c r="F35" s="203"/>
      <c r="G35" s="203"/>
      <c r="H35" s="203"/>
      <c r="I35" s="203"/>
      <c r="J35" s="203"/>
      <c r="K35" s="203"/>
      <c r="L35" s="204"/>
      <c r="M35" s="175" t="s">
        <v>186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7"/>
      <c r="X35" s="187" t="s">
        <v>34</v>
      </c>
      <c r="Y35" s="188"/>
      <c r="Z35" s="188"/>
      <c r="AA35" s="188"/>
      <c r="AB35" s="188"/>
      <c r="AC35" s="189"/>
      <c r="AD35" s="184" t="s">
        <v>34</v>
      </c>
      <c r="AE35" s="185"/>
      <c r="AF35" s="185"/>
      <c r="AG35" s="185"/>
      <c r="AH35" s="185"/>
      <c r="AI35" s="185"/>
      <c r="AJ35" s="185"/>
      <c r="AK35" s="185"/>
      <c r="AL35" s="186"/>
      <c r="AM35" s="184" t="str">
        <f>SUBSTITUTE(SUBSTITUTE(VLOOKUP(M35, [1]Message!A2:F25, 6, FALSE), "[Item name]", D35), "[item name]", D35)</f>
        <v>*The telephone field is required.</v>
      </c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6"/>
      <c r="BA35" s="184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6"/>
    </row>
    <row r="36" spans="1:65" ht="26.4" customHeight="1">
      <c r="A36" s="9"/>
      <c r="B36" s="200"/>
      <c r="C36" s="201"/>
      <c r="D36" s="208"/>
      <c r="E36" s="209"/>
      <c r="F36" s="209"/>
      <c r="G36" s="209"/>
      <c r="H36" s="209"/>
      <c r="I36" s="209"/>
      <c r="J36" s="209"/>
      <c r="K36" s="209"/>
      <c r="L36" s="210"/>
      <c r="M36" s="175" t="s">
        <v>221</v>
      </c>
      <c r="N36" s="176"/>
      <c r="O36" s="176"/>
      <c r="P36" s="176"/>
      <c r="Q36" s="176"/>
      <c r="R36" s="176"/>
      <c r="S36" s="176"/>
      <c r="T36" s="176"/>
      <c r="U36" s="176"/>
      <c r="V36" s="176"/>
      <c r="W36" s="177"/>
      <c r="X36" s="178" t="s">
        <v>184</v>
      </c>
      <c r="Y36" s="179"/>
      <c r="Z36" s="179"/>
      <c r="AA36" s="179"/>
      <c r="AB36" s="179"/>
      <c r="AC36" s="180"/>
      <c r="AD36" s="181" t="s">
        <v>34</v>
      </c>
      <c r="AE36" s="182"/>
      <c r="AF36" s="182"/>
      <c r="AG36" s="182"/>
      <c r="AH36" s="182"/>
      <c r="AI36" s="182"/>
      <c r="AJ36" s="182"/>
      <c r="AK36" s="182"/>
      <c r="AL36" s="183"/>
      <c r="AM36" s="184" t="str">
        <f>SUBSTITUTE(SUBSTITUTE(VLOOKUP(M36, [1]Message!A2:F25, 6, FALSE), "[Item name]", D35), "[item name]", D35)</f>
        <v>*The telephone format is invalid.</v>
      </c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6"/>
      <c r="BA36" s="181"/>
      <c r="BB36" s="182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3"/>
    </row>
    <row r="37" spans="1:65" ht="26.4" customHeight="1">
      <c r="A37" s="9"/>
      <c r="B37" s="211">
        <v>8</v>
      </c>
      <c r="C37" s="212"/>
      <c r="D37" s="205" t="s">
        <v>222</v>
      </c>
      <c r="E37" s="206"/>
      <c r="F37" s="206"/>
      <c r="G37" s="206"/>
      <c r="H37" s="206"/>
      <c r="I37" s="206"/>
      <c r="J37" s="206"/>
      <c r="K37" s="206"/>
      <c r="L37" s="207"/>
      <c r="M37" s="175" t="s">
        <v>187</v>
      </c>
      <c r="N37" s="176"/>
      <c r="O37" s="176"/>
      <c r="P37" s="176"/>
      <c r="Q37" s="176"/>
      <c r="R37" s="176"/>
      <c r="S37" s="176"/>
      <c r="T37" s="176"/>
      <c r="U37" s="176"/>
      <c r="V37" s="176"/>
      <c r="W37" s="177"/>
      <c r="X37" s="187" t="s">
        <v>184</v>
      </c>
      <c r="Y37" s="188"/>
      <c r="Z37" s="188"/>
      <c r="AA37" s="188"/>
      <c r="AB37" s="188"/>
      <c r="AC37" s="189"/>
      <c r="AD37" s="184" t="s">
        <v>34</v>
      </c>
      <c r="AE37" s="185"/>
      <c r="AF37" s="185"/>
      <c r="AG37" s="185"/>
      <c r="AH37" s="185"/>
      <c r="AI37" s="185"/>
      <c r="AJ37" s="185"/>
      <c r="AK37" s="185"/>
      <c r="AL37" s="186"/>
      <c r="AM37" s="184" t="str">
        <f>SUBSTITUTE(SUBSTITUTE(VLOOKUP(M37, Message!A2:F25, 6, FALSE), "[Item name]", D37), "[Range value]", MID(X37, FIND(":", X37) + 1, LEN(X37)))</f>
        <v>*The fax must not be greater than 255 characters.</v>
      </c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6"/>
      <c r="BA37" s="54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6"/>
    </row>
    <row r="38" spans="1:65" ht="15.75" customHeight="1">
      <c r="A38" s="1"/>
      <c r="B38" s="213"/>
      <c r="C38" s="214"/>
      <c r="D38" s="208"/>
      <c r="E38" s="209"/>
      <c r="F38" s="209"/>
      <c r="G38" s="209"/>
      <c r="H38" s="209"/>
      <c r="I38" s="209"/>
      <c r="J38" s="209"/>
      <c r="K38" s="209"/>
      <c r="L38" s="210"/>
      <c r="M38" s="175" t="s">
        <v>221</v>
      </c>
      <c r="N38" s="176"/>
      <c r="O38" s="176"/>
      <c r="P38" s="176"/>
      <c r="Q38" s="176"/>
      <c r="R38" s="176"/>
      <c r="S38" s="176"/>
      <c r="T38" s="176"/>
      <c r="U38" s="176"/>
      <c r="V38" s="176"/>
      <c r="W38" s="177"/>
      <c r="X38" s="178" t="s">
        <v>34</v>
      </c>
      <c r="Y38" s="179"/>
      <c r="Z38" s="179"/>
      <c r="AA38" s="179"/>
      <c r="AB38" s="179"/>
      <c r="AC38" s="180"/>
      <c r="AD38" s="181" t="s">
        <v>34</v>
      </c>
      <c r="AE38" s="182"/>
      <c r="AF38" s="182"/>
      <c r="AG38" s="182"/>
      <c r="AH38" s="182"/>
      <c r="AI38" s="182"/>
      <c r="AJ38" s="182"/>
      <c r="AK38" s="182"/>
      <c r="AL38" s="183"/>
      <c r="AM38" s="184" t="str">
        <f xml:space="preserve"> SUBSTITUTE( SUBSTITUTE(VLOOKUP(M38, [1]Message!A3:F30, 6, FALSE), "[Item name]",D37), "[item name]",D37)</f>
        <v>*The fax format is invalid.</v>
      </c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185"/>
      <c r="AZ38" s="186"/>
      <c r="BA38" s="181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3"/>
    </row>
    <row r="39" spans="1:65" ht="15.75" customHeight="1">
      <c r="A39" s="1"/>
      <c r="B39" s="196">
        <v>9</v>
      </c>
      <c r="C39" s="197"/>
      <c r="D39" s="202" t="s">
        <v>270</v>
      </c>
      <c r="E39" s="203"/>
      <c r="F39" s="203"/>
      <c r="G39" s="203"/>
      <c r="H39" s="203"/>
      <c r="I39" s="203"/>
      <c r="J39" s="203"/>
      <c r="K39" s="203"/>
      <c r="L39" s="204"/>
      <c r="M39" s="175" t="s">
        <v>186</v>
      </c>
      <c r="N39" s="176"/>
      <c r="O39" s="176"/>
      <c r="P39" s="176"/>
      <c r="Q39" s="176"/>
      <c r="R39" s="176"/>
      <c r="S39" s="176"/>
      <c r="T39" s="176"/>
      <c r="U39" s="176"/>
      <c r="V39" s="176"/>
      <c r="W39" s="177"/>
      <c r="X39" s="187" t="s">
        <v>34</v>
      </c>
      <c r="Y39" s="188"/>
      <c r="Z39" s="188"/>
      <c r="AA39" s="188"/>
      <c r="AB39" s="188"/>
      <c r="AC39" s="189"/>
      <c r="AD39" s="184" t="s">
        <v>34</v>
      </c>
      <c r="AE39" s="185"/>
      <c r="AF39" s="185"/>
      <c r="AG39" s="185"/>
      <c r="AH39" s="185"/>
      <c r="AI39" s="185"/>
      <c r="AJ39" s="185"/>
      <c r="AK39" s="185"/>
      <c r="AL39" s="186"/>
      <c r="AM39" s="184" t="str">
        <f>SUBSTITUTE(SUBSTITUTE(VLOOKUP(M39, [1]Message!A2:F25, 6, FALSE), "[Item name]", D39), "[item name]", D39)</f>
        <v>*The tax code field is required.</v>
      </c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6"/>
      <c r="BA39" s="184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6"/>
    </row>
    <row r="40" spans="1:65" ht="26.4" customHeight="1">
      <c r="A40" s="9"/>
      <c r="B40" s="198"/>
      <c r="C40" s="199"/>
      <c r="D40" s="205"/>
      <c r="E40" s="206"/>
      <c r="F40" s="206"/>
      <c r="G40" s="206"/>
      <c r="H40" s="206"/>
      <c r="I40" s="206"/>
      <c r="J40" s="206"/>
      <c r="K40" s="206"/>
      <c r="L40" s="207"/>
      <c r="M40" s="175" t="s">
        <v>187</v>
      </c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7" t="s">
        <v>280</v>
      </c>
      <c r="Y40" s="188"/>
      <c r="Z40" s="188"/>
      <c r="AA40" s="188"/>
      <c r="AB40" s="188"/>
      <c r="AC40" s="189"/>
      <c r="AD40" s="184" t="s">
        <v>34</v>
      </c>
      <c r="AE40" s="185"/>
      <c r="AF40" s="185"/>
      <c r="AG40" s="185"/>
      <c r="AH40" s="185"/>
      <c r="AI40" s="185"/>
      <c r="AJ40" s="185"/>
      <c r="AK40" s="185"/>
      <c r="AL40" s="186"/>
      <c r="AM40" s="184" t="str">
        <f>SUBSTITUTE(SUBSTITUTE(VLOOKUP(M40, Message!A2:F26, 6, FALSE), "[Item name]", D39), "[Range value]", MID(X40, FIND(":", X40) + 1, LEN(X40)))</f>
        <v>*The tax code must not be greater than 13 characters.</v>
      </c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6"/>
      <c r="BA40" s="54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6"/>
    </row>
    <row r="41" spans="1:65" ht="26.4" customHeight="1">
      <c r="A41" s="9"/>
      <c r="B41" s="198"/>
      <c r="C41" s="199"/>
      <c r="D41" s="205"/>
      <c r="E41" s="206"/>
      <c r="F41" s="206"/>
      <c r="G41" s="206"/>
      <c r="H41" s="206"/>
      <c r="I41" s="206"/>
      <c r="J41" s="206"/>
      <c r="K41" s="206"/>
      <c r="L41" s="207"/>
      <c r="M41" s="175" t="s">
        <v>189</v>
      </c>
      <c r="N41" s="176"/>
      <c r="O41" s="176"/>
      <c r="P41" s="176"/>
      <c r="Q41" s="176"/>
      <c r="R41" s="176"/>
      <c r="S41" s="176"/>
      <c r="T41" s="176"/>
      <c r="U41" s="176"/>
      <c r="V41" s="176"/>
      <c r="W41" s="177"/>
      <c r="X41" s="187" t="s">
        <v>281</v>
      </c>
      <c r="Y41" s="188"/>
      <c r="Z41" s="188"/>
      <c r="AA41" s="188"/>
      <c r="AB41" s="188"/>
      <c r="AC41" s="189"/>
      <c r="AD41" s="184" t="s">
        <v>34</v>
      </c>
      <c r="AE41" s="185"/>
      <c r="AF41" s="185"/>
      <c r="AG41" s="185"/>
      <c r="AH41" s="185"/>
      <c r="AI41" s="185"/>
      <c r="AJ41" s="185"/>
      <c r="AK41" s="185"/>
      <c r="AL41" s="186"/>
      <c r="AM41" s="184" t="str">
        <f>SUBSTITUTE(SUBSTITUTE(VLOOKUP(M41, Message!A3:F27, 6, FALSE), "[Item name]", D40), "[Range value]", MID(X41, FIND(":", X41) + 1, LEN(X41)))</f>
        <v>*The  must be at least 10 characters.</v>
      </c>
      <c r="AN41" s="185"/>
      <c r="AO41" s="185"/>
      <c r="AP41" s="185"/>
      <c r="AQ41" s="185"/>
      <c r="AR41" s="185"/>
      <c r="AS41" s="185"/>
      <c r="AT41" s="185"/>
      <c r="AU41" s="185"/>
      <c r="AV41" s="185"/>
      <c r="AW41" s="185"/>
      <c r="AX41" s="185"/>
      <c r="AY41" s="185"/>
      <c r="AZ41" s="186"/>
      <c r="BA41" s="54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6"/>
    </row>
    <row r="42" spans="1:65" ht="15.75" customHeight="1">
      <c r="A42" s="1"/>
      <c r="B42" s="200"/>
      <c r="C42" s="201"/>
      <c r="D42" s="208"/>
      <c r="E42" s="209"/>
      <c r="F42" s="209"/>
      <c r="G42" s="209"/>
      <c r="H42" s="209"/>
      <c r="I42" s="209"/>
      <c r="J42" s="209"/>
      <c r="K42" s="209"/>
      <c r="L42" s="210"/>
      <c r="M42" s="190" t="s">
        <v>223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2"/>
      <c r="X42" s="178" t="s">
        <v>34</v>
      </c>
      <c r="Y42" s="179"/>
      <c r="Z42" s="179"/>
      <c r="AA42" s="179"/>
      <c r="AB42" s="179"/>
      <c r="AC42" s="180"/>
      <c r="AD42" s="181" t="s">
        <v>34</v>
      </c>
      <c r="AE42" s="182"/>
      <c r="AF42" s="182"/>
      <c r="AG42" s="182"/>
      <c r="AH42" s="182"/>
      <c r="AI42" s="182"/>
      <c r="AJ42" s="182"/>
      <c r="AK42" s="182"/>
      <c r="AL42" s="183"/>
      <c r="AM42" s="181" t="str">
        <f>SUBSTITUTE(SUBSTITUTE(VLOOKUP(M42, Message!A11:F34, 6, FALSE), "[Item name]", D39), "[item name]", D39)</f>
        <v>*The tax code format is invalid.</v>
      </c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3"/>
      <c r="BA42" s="51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3"/>
    </row>
    <row r="43" spans="1:65" ht="15.75" customHeight="1">
      <c r="A43" s="1"/>
      <c r="B43" s="211">
        <v>10</v>
      </c>
      <c r="C43" s="212"/>
      <c r="D43" s="215" t="s">
        <v>224</v>
      </c>
      <c r="E43" s="216"/>
      <c r="F43" s="216"/>
      <c r="G43" s="216"/>
      <c r="H43" s="216"/>
      <c r="I43" s="216"/>
      <c r="J43" s="216"/>
      <c r="K43" s="216"/>
      <c r="L43" s="217"/>
      <c r="M43" s="175" t="s">
        <v>186</v>
      </c>
      <c r="N43" s="176"/>
      <c r="O43" s="176"/>
      <c r="P43" s="176"/>
      <c r="Q43" s="176"/>
      <c r="R43" s="176"/>
      <c r="S43" s="176"/>
      <c r="T43" s="176"/>
      <c r="U43" s="176"/>
      <c r="V43" s="176"/>
      <c r="W43" s="177"/>
      <c r="X43" s="187" t="s">
        <v>34</v>
      </c>
      <c r="Y43" s="188"/>
      <c r="Z43" s="188"/>
      <c r="AA43" s="188"/>
      <c r="AB43" s="188"/>
      <c r="AC43" s="189"/>
      <c r="AD43" s="184" t="s">
        <v>34</v>
      </c>
      <c r="AE43" s="185"/>
      <c r="AF43" s="185"/>
      <c r="AG43" s="185"/>
      <c r="AH43" s="185"/>
      <c r="AI43" s="185"/>
      <c r="AJ43" s="185"/>
      <c r="AK43" s="185"/>
      <c r="AL43" s="186"/>
      <c r="AM43" s="184" t="str">
        <f>SUBSTITUTE(SUBSTITUTE(VLOOKUP(M43, [1]Message!A2:F25, 6, FALSE), "[Item name]", D43), "[item name]", D43)</f>
        <v>*The adress  1 field is required.</v>
      </c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6"/>
      <c r="BA43" s="184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6"/>
    </row>
    <row r="44" spans="1:65" ht="15.75" customHeight="1">
      <c r="A44" s="1"/>
      <c r="B44" s="198"/>
      <c r="C44" s="199"/>
      <c r="D44" s="205"/>
      <c r="E44" s="206"/>
      <c r="F44" s="206"/>
      <c r="G44" s="206"/>
      <c r="H44" s="206"/>
      <c r="I44" s="206"/>
      <c r="J44" s="206"/>
      <c r="K44" s="206"/>
      <c r="L44" s="207"/>
      <c r="M44" s="221" t="s">
        <v>189</v>
      </c>
      <c r="N44" s="222"/>
      <c r="O44" s="222"/>
      <c r="P44" s="222"/>
      <c r="Q44" s="222"/>
      <c r="R44" s="222"/>
      <c r="S44" s="222"/>
      <c r="T44" s="222"/>
      <c r="U44" s="222"/>
      <c r="V44" s="222"/>
      <c r="W44" s="223"/>
      <c r="X44" s="224" t="s">
        <v>225</v>
      </c>
      <c r="Y44" s="225"/>
      <c r="Z44" s="225"/>
      <c r="AA44" s="225"/>
      <c r="AB44" s="225"/>
      <c r="AC44" s="226"/>
      <c r="AD44" s="218" t="s">
        <v>34</v>
      </c>
      <c r="AE44" s="219"/>
      <c r="AF44" s="219"/>
      <c r="AG44" s="219"/>
      <c r="AH44" s="219"/>
      <c r="AI44" s="219"/>
      <c r="AJ44" s="219"/>
      <c r="AK44" s="219"/>
      <c r="AL44" s="220"/>
      <c r="AM44" s="184" t="str">
        <f>SUBSTITUTE(SUBSTITUTE(VLOOKUP(M44, [1]Message!A1:F24, 6, FALSE), "[Item name]", D43), "[Range value]", MID(X44, FIND(":", X44) + 1, LEN(X44)))</f>
        <v>*The adress  1 must be at least 5 characters.</v>
      </c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185"/>
      <c r="AZ44" s="186"/>
      <c r="BA44" s="227"/>
      <c r="BB44" s="228"/>
      <c r="BC44" s="228"/>
      <c r="BD44" s="228"/>
      <c r="BE44" s="228"/>
      <c r="BF44" s="228"/>
      <c r="BG44" s="228"/>
      <c r="BH44" s="228"/>
      <c r="BI44" s="228"/>
      <c r="BJ44" s="228"/>
      <c r="BK44" s="228"/>
      <c r="BL44" s="228"/>
      <c r="BM44" s="229"/>
    </row>
    <row r="45" spans="1:65" ht="15.75" customHeight="1">
      <c r="A45" s="1"/>
      <c r="B45" s="200"/>
      <c r="C45" s="201"/>
      <c r="D45" s="208"/>
      <c r="E45" s="209"/>
      <c r="F45" s="209"/>
      <c r="G45" s="209"/>
      <c r="H45" s="209"/>
      <c r="I45" s="209"/>
      <c r="J45" s="209"/>
      <c r="K45" s="209"/>
      <c r="L45" s="210"/>
      <c r="M45" s="221" t="s">
        <v>187</v>
      </c>
      <c r="N45" s="222"/>
      <c r="O45" s="222"/>
      <c r="P45" s="222"/>
      <c r="Q45" s="222"/>
      <c r="R45" s="222"/>
      <c r="S45" s="222"/>
      <c r="T45" s="222"/>
      <c r="U45" s="222"/>
      <c r="V45" s="222"/>
      <c r="W45" s="223"/>
      <c r="X45" s="224" t="s">
        <v>184</v>
      </c>
      <c r="Y45" s="225"/>
      <c r="Z45" s="225"/>
      <c r="AA45" s="225"/>
      <c r="AB45" s="225"/>
      <c r="AC45" s="226"/>
      <c r="AD45" s="218" t="s">
        <v>34</v>
      </c>
      <c r="AE45" s="219"/>
      <c r="AF45" s="219"/>
      <c r="AG45" s="219"/>
      <c r="AH45" s="219"/>
      <c r="AI45" s="219"/>
      <c r="AJ45" s="219"/>
      <c r="AK45" s="219"/>
      <c r="AL45" s="220"/>
      <c r="AM45" s="184" t="str">
        <f>SUBSTITUTE(SUBSTITUTE(VLOOKUP(M45, [1]Message!A2:F25, 6, FALSE), "[Item name]", D43), "[Range value]", MID(X45, FIND(":", X45) + 1, LEN(X45)))</f>
        <v>*The adress  1 must not be greater than 255 characters.</v>
      </c>
      <c r="AN45" s="185"/>
      <c r="AO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6"/>
      <c r="BA45" s="227"/>
      <c r="BB45" s="228"/>
      <c r="BC45" s="228"/>
      <c r="BD45" s="228"/>
      <c r="BE45" s="228"/>
      <c r="BF45" s="228"/>
      <c r="BG45" s="228"/>
      <c r="BH45" s="228"/>
      <c r="BI45" s="228"/>
      <c r="BJ45" s="228"/>
      <c r="BK45" s="228"/>
      <c r="BL45" s="228"/>
      <c r="BM45" s="229"/>
    </row>
    <row r="46" spans="1:65" ht="15.75" customHeight="1">
      <c r="A46" s="1"/>
      <c r="B46" s="198">
        <v>11</v>
      </c>
      <c r="C46" s="199"/>
      <c r="D46" s="205" t="s">
        <v>226</v>
      </c>
      <c r="E46" s="206"/>
      <c r="F46" s="206"/>
      <c r="G46" s="206"/>
      <c r="H46" s="206"/>
      <c r="I46" s="206"/>
      <c r="J46" s="206"/>
      <c r="K46" s="206"/>
      <c r="L46" s="207"/>
      <c r="M46" s="221" t="s">
        <v>189</v>
      </c>
      <c r="N46" s="222"/>
      <c r="O46" s="222"/>
      <c r="P46" s="222"/>
      <c r="Q46" s="222"/>
      <c r="R46" s="222"/>
      <c r="S46" s="222"/>
      <c r="T46" s="222"/>
      <c r="U46" s="222"/>
      <c r="V46" s="222"/>
      <c r="W46" s="223"/>
      <c r="X46" s="224" t="s">
        <v>225</v>
      </c>
      <c r="Y46" s="225"/>
      <c r="Z46" s="225"/>
      <c r="AA46" s="225"/>
      <c r="AB46" s="225"/>
      <c r="AC46" s="226"/>
      <c r="AD46" s="218" t="s">
        <v>34</v>
      </c>
      <c r="AE46" s="219"/>
      <c r="AF46" s="219"/>
      <c r="AG46" s="219"/>
      <c r="AH46" s="219"/>
      <c r="AI46" s="219"/>
      <c r="AJ46" s="219"/>
      <c r="AK46" s="219"/>
      <c r="AL46" s="220"/>
      <c r="AM46" s="184" t="str">
        <f>SUBSTITUTE( SUBSTITUTE(VLOOKUP(M46, [1]Message!A2:F25, 6, FALSE), "[Item name]", D46), "[Range value]", MID(X46, FIND(":", X46) + 1, LEN(X46)))</f>
        <v>*The address 2 must be at least 5 characters.</v>
      </c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  <c r="AZ46" s="186"/>
      <c r="BA46" s="227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9"/>
    </row>
    <row r="47" spans="1:65" ht="15.75" customHeight="1">
      <c r="A47" s="1"/>
      <c r="B47" s="200"/>
      <c r="C47" s="201"/>
      <c r="D47" s="208"/>
      <c r="E47" s="209"/>
      <c r="F47" s="209"/>
      <c r="G47" s="209"/>
      <c r="H47" s="209"/>
      <c r="I47" s="209"/>
      <c r="J47" s="209"/>
      <c r="K47" s="209"/>
      <c r="L47" s="210"/>
      <c r="M47" s="221" t="s">
        <v>187</v>
      </c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24" t="s">
        <v>184</v>
      </c>
      <c r="Y47" s="225"/>
      <c r="Z47" s="225"/>
      <c r="AA47" s="225"/>
      <c r="AB47" s="225"/>
      <c r="AC47" s="226"/>
      <c r="AD47" s="218" t="s">
        <v>34</v>
      </c>
      <c r="AE47" s="219"/>
      <c r="AF47" s="219"/>
      <c r="AG47" s="219"/>
      <c r="AH47" s="219"/>
      <c r="AI47" s="219"/>
      <c r="AJ47" s="219"/>
      <c r="AK47" s="219"/>
      <c r="AL47" s="220"/>
      <c r="AM47" s="184" t="str">
        <f>SUBSTITUTE( SUBSTITUTE(VLOOKUP(M47,[1]Message!A2:F25, 6, FALSE), "[Item name]", D46), "[Range value]", MID(X47, FIND(":", X47) + 1, LEN(X47)))</f>
        <v>*The address 2 must not be greater than 255 characters.</v>
      </c>
      <c r="AN47" s="185"/>
      <c r="AO47" s="185"/>
      <c r="AP47" s="185"/>
      <c r="AQ47" s="185"/>
      <c r="AR47" s="185"/>
      <c r="AS47" s="185"/>
      <c r="AT47" s="185"/>
      <c r="AU47" s="185"/>
      <c r="AV47" s="185"/>
      <c r="AW47" s="185"/>
      <c r="AX47" s="185"/>
      <c r="AY47" s="185"/>
      <c r="AZ47" s="186"/>
      <c r="BA47" s="227"/>
      <c r="BB47" s="228"/>
      <c r="BC47" s="228"/>
      <c r="BD47" s="228"/>
      <c r="BE47" s="228"/>
      <c r="BF47" s="228"/>
      <c r="BG47" s="228"/>
      <c r="BH47" s="228"/>
      <c r="BI47" s="228"/>
      <c r="BJ47" s="228"/>
      <c r="BK47" s="228"/>
      <c r="BL47" s="228"/>
      <c r="BM47" s="229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  <row r="1000" spans="1:6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</row>
    <row r="1001" spans="1:65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</row>
  </sheetData>
  <mergeCells count="197">
    <mergeCell ref="B46:C47"/>
    <mergeCell ref="D46:L47"/>
    <mergeCell ref="M46:W46"/>
    <mergeCell ref="X46:AC46"/>
    <mergeCell ref="AD46:AL46"/>
    <mergeCell ref="AM46:AZ46"/>
    <mergeCell ref="BA46:BM46"/>
    <mergeCell ref="M47:W47"/>
    <mergeCell ref="X47:AC47"/>
    <mergeCell ref="AD47:AL47"/>
    <mergeCell ref="AM47:AZ47"/>
    <mergeCell ref="BA47:BM47"/>
    <mergeCell ref="B43:C45"/>
    <mergeCell ref="D43:L45"/>
    <mergeCell ref="M43:W43"/>
    <mergeCell ref="X43:AC43"/>
    <mergeCell ref="AD43:AL43"/>
    <mergeCell ref="AM43:AZ43"/>
    <mergeCell ref="BA43:BM43"/>
    <mergeCell ref="M44:W44"/>
    <mergeCell ref="X44:AC44"/>
    <mergeCell ref="AD44:AL44"/>
    <mergeCell ref="AM44:AZ44"/>
    <mergeCell ref="BA44:BM44"/>
    <mergeCell ref="M45:W45"/>
    <mergeCell ref="X45:AC45"/>
    <mergeCell ref="AD45:AL45"/>
    <mergeCell ref="AM45:AZ45"/>
    <mergeCell ref="BA45:BM45"/>
    <mergeCell ref="B37:C38"/>
    <mergeCell ref="D37:L38"/>
    <mergeCell ref="M38:W38"/>
    <mergeCell ref="X38:AC38"/>
    <mergeCell ref="AD38:AL38"/>
    <mergeCell ref="M37:W37"/>
    <mergeCell ref="X37:AC37"/>
    <mergeCell ref="AD37:AL37"/>
    <mergeCell ref="AM37:AZ37"/>
    <mergeCell ref="AM38:AZ38"/>
    <mergeCell ref="B39:C42"/>
    <mergeCell ref="D39:L42"/>
    <mergeCell ref="M39:W39"/>
    <mergeCell ref="X39:AC39"/>
    <mergeCell ref="AD39:AL39"/>
    <mergeCell ref="AM39:AZ39"/>
    <mergeCell ref="BA39:BM39"/>
    <mergeCell ref="M42:W42"/>
    <mergeCell ref="X42:AC42"/>
    <mergeCell ref="AD42:AL42"/>
    <mergeCell ref="AM42:AZ42"/>
    <mergeCell ref="M41:W41"/>
    <mergeCell ref="X41:AC41"/>
    <mergeCell ref="AD41:AL41"/>
    <mergeCell ref="AM41:AZ41"/>
    <mergeCell ref="D35:L36"/>
    <mergeCell ref="B35:C36"/>
    <mergeCell ref="M36:W36"/>
    <mergeCell ref="X36:AC36"/>
    <mergeCell ref="AD36:AL36"/>
    <mergeCell ref="AM36:AZ36"/>
    <mergeCell ref="BA36:BM36"/>
    <mergeCell ref="AM35:AZ35"/>
    <mergeCell ref="BA35:BM35"/>
    <mergeCell ref="M35:W35"/>
    <mergeCell ref="X35:AC35"/>
    <mergeCell ref="AD35:AL35"/>
    <mergeCell ref="X31:AC31"/>
    <mergeCell ref="AD31:AL31"/>
    <mergeCell ref="B30:C31"/>
    <mergeCell ref="D30:L31"/>
    <mergeCell ref="BA30:BM30"/>
    <mergeCell ref="B32:C34"/>
    <mergeCell ref="D32:L34"/>
    <mergeCell ref="M29:W29"/>
    <mergeCell ref="X29:AC29"/>
    <mergeCell ref="AD29:AL29"/>
    <mergeCell ref="AM29:AZ29"/>
    <mergeCell ref="M30:W30"/>
    <mergeCell ref="X30:AC30"/>
    <mergeCell ref="AD30:AL30"/>
    <mergeCell ref="AM30:AZ30"/>
    <mergeCell ref="AM31:AZ31"/>
    <mergeCell ref="M31:W31"/>
    <mergeCell ref="M32:W32"/>
    <mergeCell ref="X32:AC32"/>
    <mergeCell ref="AD32:AL32"/>
    <mergeCell ref="AM32:AZ32"/>
    <mergeCell ref="M34:W34"/>
    <mergeCell ref="X34:AC34"/>
    <mergeCell ref="B26:C29"/>
    <mergeCell ref="D26:L29"/>
    <mergeCell ref="F8:M8"/>
    <mergeCell ref="AM20:AZ20"/>
    <mergeCell ref="M22:W22"/>
    <mergeCell ref="X22:AC22"/>
    <mergeCell ref="AD22:AL22"/>
    <mergeCell ref="AM22:AZ22"/>
    <mergeCell ref="BA18:BM18"/>
    <mergeCell ref="AM25:AZ25"/>
    <mergeCell ref="BA25:BM25"/>
    <mergeCell ref="M24:W24"/>
    <mergeCell ref="M19:W19"/>
    <mergeCell ref="X19:AC19"/>
    <mergeCell ref="AD19:AL19"/>
    <mergeCell ref="AM19:AZ19"/>
    <mergeCell ref="BA21:BM21"/>
    <mergeCell ref="M18:W18"/>
    <mergeCell ref="X18:AC18"/>
    <mergeCell ref="AD18:AL18"/>
    <mergeCell ref="M20:W20"/>
    <mergeCell ref="X20:AC20"/>
    <mergeCell ref="AD20:AL20"/>
    <mergeCell ref="AM21:AZ21"/>
    <mergeCell ref="M21:W21"/>
    <mergeCell ref="B15:C18"/>
    <mergeCell ref="D15:L18"/>
    <mergeCell ref="B19:C22"/>
    <mergeCell ref="D19:L22"/>
    <mergeCell ref="BA19:BM19"/>
    <mergeCell ref="BA22:BM22"/>
    <mergeCell ref="B23:C25"/>
    <mergeCell ref="D23:L25"/>
    <mergeCell ref="BA24:BM24"/>
    <mergeCell ref="M15:W15"/>
    <mergeCell ref="X15:AC15"/>
    <mergeCell ref="AD15:AL15"/>
    <mergeCell ref="AD17:AL17"/>
    <mergeCell ref="AM15:AZ15"/>
    <mergeCell ref="AM17:AZ17"/>
    <mergeCell ref="BA15:BM15"/>
    <mergeCell ref="BA17:BM17"/>
    <mergeCell ref="M16:W16"/>
    <mergeCell ref="X16:AC16"/>
    <mergeCell ref="AD16:AL16"/>
    <mergeCell ref="AM16:AZ16"/>
    <mergeCell ref="M17:W17"/>
    <mergeCell ref="X17:AC17"/>
    <mergeCell ref="AM18:AZ18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X21:AC21"/>
    <mergeCell ref="AD21:AL21"/>
    <mergeCell ref="X27:AC27"/>
    <mergeCell ref="AD27:AL27"/>
    <mergeCell ref="AM27:AZ27"/>
    <mergeCell ref="M28:W28"/>
    <mergeCell ref="X28:AC28"/>
    <mergeCell ref="AD28:AL28"/>
    <mergeCell ref="AM23:AZ23"/>
    <mergeCell ref="BA23:BM23"/>
    <mergeCell ref="X24:AC24"/>
    <mergeCell ref="AD24:AL24"/>
    <mergeCell ref="AM24:AZ24"/>
    <mergeCell ref="M25:W25"/>
    <mergeCell ref="X25:AC25"/>
    <mergeCell ref="AD25:AL25"/>
    <mergeCell ref="AM28:AZ28"/>
    <mergeCell ref="M23:W23"/>
    <mergeCell ref="X23:AC23"/>
    <mergeCell ref="AD23:AL23"/>
    <mergeCell ref="M26:W26"/>
    <mergeCell ref="X26:AC26"/>
    <mergeCell ref="AD26:AL26"/>
    <mergeCell ref="AM26:AZ26"/>
    <mergeCell ref="BA26:BM26"/>
    <mergeCell ref="M27:W27"/>
    <mergeCell ref="M33:W33"/>
    <mergeCell ref="X33:AC33"/>
    <mergeCell ref="AD33:AL33"/>
    <mergeCell ref="AM33:AZ33"/>
    <mergeCell ref="BA33:BM33"/>
    <mergeCell ref="M40:W40"/>
    <mergeCell ref="X40:AC40"/>
    <mergeCell ref="AD40:AL40"/>
    <mergeCell ref="AM40:AZ40"/>
    <mergeCell ref="AD34:AL34"/>
    <mergeCell ref="AM34:AZ34"/>
    <mergeCell ref="BA34:BM34"/>
    <mergeCell ref="BA38:BM38"/>
  </mergeCells>
  <pageMargins left="0.70866141732283505" right="0.70866141732283505" top="0.74803149606299202" bottom="0.74803149606299202" header="0" footer="0"/>
  <pageSetup paperSize="9" scale="63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6CECF5D-4C86-43FF-B455-06212E29EFE9}">
          <x14:formula1>
            <xm:f>Message!$A$2:$A$23</xm:f>
          </x14:formula1>
          <xm:sqref>M15:W23 M25:W37 M40:W41</xm:sqref>
        </x14:dataValidation>
        <x14:dataValidation type="list" allowBlank="1" showInputMessage="1" showErrorMessage="1" xr:uid="{F84726DE-2305-482B-A66C-AFDD202252C3}">
          <x14:formula1>
            <xm:f>Message!$A$2:$A$26</xm:f>
          </x14:formula1>
          <xm:sqref>M24:W24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89"/>
  <sheetViews>
    <sheetView topLeftCell="A8" zoomScale="115" zoomScaleNormal="115" workbookViewId="0">
      <selection activeCell="E26" sqref="E2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7" t="s">
        <v>185</v>
      </c>
      <c r="B1" s="57" t="s">
        <v>86</v>
      </c>
      <c r="C1" s="57" t="s">
        <v>87</v>
      </c>
      <c r="D1" s="57" t="s">
        <v>88</v>
      </c>
      <c r="E1" s="57" t="s">
        <v>211</v>
      </c>
      <c r="F1" s="57" t="s">
        <v>89</v>
      </c>
    </row>
    <row r="2" spans="1:6" ht="14.25" customHeight="1">
      <c r="A2" s="58" t="s">
        <v>186</v>
      </c>
      <c r="B2" s="59" t="s">
        <v>36</v>
      </c>
      <c r="C2" s="60" t="s">
        <v>90</v>
      </c>
      <c r="D2" s="60" t="s">
        <v>34</v>
      </c>
      <c r="E2" s="60" t="s">
        <v>91</v>
      </c>
      <c r="F2" s="60" t="s">
        <v>227</v>
      </c>
    </row>
    <row r="3" spans="1:6" ht="14.25" customHeight="1">
      <c r="A3" s="58" t="s">
        <v>187</v>
      </c>
      <c r="B3" s="59" t="s">
        <v>37</v>
      </c>
      <c r="C3" s="60" t="s">
        <v>95</v>
      </c>
      <c r="D3" s="230" t="s">
        <v>96</v>
      </c>
      <c r="E3" s="230" t="s">
        <v>97</v>
      </c>
      <c r="F3" s="60" t="s">
        <v>228</v>
      </c>
    </row>
    <row r="4" spans="1:6" ht="25.2" customHeight="1">
      <c r="A4" s="58" t="s">
        <v>188</v>
      </c>
      <c r="B4" s="59" t="s">
        <v>39</v>
      </c>
      <c r="C4" s="60" t="s">
        <v>41</v>
      </c>
      <c r="D4" s="230"/>
      <c r="E4" s="230"/>
      <c r="F4" s="60" t="s">
        <v>229</v>
      </c>
    </row>
    <row r="5" spans="1:6" ht="13.8" customHeight="1">
      <c r="A5" s="58" t="s">
        <v>189</v>
      </c>
      <c r="B5" s="59" t="s">
        <v>40</v>
      </c>
      <c r="C5" s="60" t="s">
        <v>43</v>
      </c>
      <c r="D5" s="60" t="s">
        <v>98</v>
      </c>
      <c r="E5" s="60" t="s">
        <v>99</v>
      </c>
      <c r="F5" s="60" t="s">
        <v>230</v>
      </c>
    </row>
    <row r="6" spans="1:6" ht="15" customHeight="1">
      <c r="A6" s="58" t="s">
        <v>190</v>
      </c>
      <c r="B6" s="59" t="s">
        <v>42</v>
      </c>
      <c r="C6" s="60" t="s">
        <v>45</v>
      </c>
      <c r="D6" s="60" t="s">
        <v>100</v>
      </c>
      <c r="E6" s="60" t="s">
        <v>101</v>
      </c>
      <c r="F6" s="60" t="s">
        <v>231</v>
      </c>
    </row>
    <row r="7" spans="1:6" ht="13.5" customHeight="1">
      <c r="A7" s="58" t="s">
        <v>191</v>
      </c>
      <c r="B7" s="59" t="s">
        <v>44</v>
      </c>
      <c r="C7" s="60" t="s">
        <v>102</v>
      </c>
      <c r="D7" s="60" t="s">
        <v>103</v>
      </c>
      <c r="E7" s="60" t="s">
        <v>101</v>
      </c>
      <c r="F7" s="60" t="s">
        <v>232</v>
      </c>
    </row>
    <row r="8" spans="1:6" ht="13.5" customHeight="1">
      <c r="A8" s="58" t="s">
        <v>192</v>
      </c>
      <c r="B8" s="59" t="s">
        <v>46</v>
      </c>
      <c r="C8" s="60" t="s">
        <v>104</v>
      </c>
      <c r="D8" s="60" t="s">
        <v>105</v>
      </c>
      <c r="E8" s="60" t="s">
        <v>47</v>
      </c>
      <c r="F8" s="60" t="s">
        <v>233</v>
      </c>
    </row>
    <row r="9" spans="1:6" ht="14.25" customHeight="1">
      <c r="A9" s="58" t="s">
        <v>193</v>
      </c>
      <c r="B9" s="59" t="s">
        <v>48</v>
      </c>
      <c r="C9" s="60" t="s">
        <v>106</v>
      </c>
      <c r="D9" s="60" t="s">
        <v>107</v>
      </c>
      <c r="E9" s="60" t="s">
        <v>108</v>
      </c>
      <c r="F9" s="60" t="s">
        <v>233</v>
      </c>
    </row>
    <row r="10" spans="1:6" ht="14.25" customHeight="1">
      <c r="A10" s="58" t="s">
        <v>214</v>
      </c>
      <c r="B10" s="59" t="s">
        <v>49</v>
      </c>
      <c r="C10" s="60" t="s">
        <v>53</v>
      </c>
      <c r="D10" s="60" t="s">
        <v>109</v>
      </c>
      <c r="E10" s="60" t="s">
        <v>234</v>
      </c>
      <c r="F10" s="60" t="s">
        <v>235</v>
      </c>
    </row>
    <row r="11" spans="1:6" ht="14.25" customHeight="1">
      <c r="A11" s="58" t="s">
        <v>194</v>
      </c>
      <c r="B11" s="59" t="s">
        <v>50</v>
      </c>
      <c r="C11" s="60" t="s">
        <v>53</v>
      </c>
      <c r="D11" s="60" t="s">
        <v>110</v>
      </c>
      <c r="E11" s="60" t="s">
        <v>236</v>
      </c>
      <c r="F11" s="60" t="s">
        <v>237</v>
      </c>
    </row>
    <row r="12" spans="1:6" ht="14.25" customHeight="1">
      <c r="A12" s="58" t="s">
        <v>195</v>
      </c>
      <c r="B12" s="59" t="s">
        <v>51</v>
      </c>
      <c r="C12" s="60" t="s">
        <v>111</v>
      </c>
      <c r="D12" s="60" t="s">
        <v>112</v>
      </c>
      <c r="E12" s="60" t="s">
        <v>113</v>
      </c>
      <c r="F12" s="60" t="s">
        <v>238</v>
      </c>
    </row>
    <row r="13" spans="1:6" ht="14.25" customHeight="1">
      <c r="A13" s="58" t="s">
        <v>196</v>
      </c>
      <c r="B13" s="59" t="s">
        <v>52</v>
      </c>
      <c r="C13" s="60" t="s">
        <v>38</v>
      </c>
      <c r="D13" s="60" t="s">
        <v>114</v>
      </c>
      <c r="E13" s="60" t="s">
        <v>93</v>
      </c>
      <c r="F13" s="60" t="s">
        <v>94</v>
      </c>
    </row>
    <row r="14" spans="1:6" ht="14.25" customHeight="1">
      <c r="A14" s="58" t="s">
        <v>197</v>
      </c>
      <c r="B14" s="59" t="s">
        <v>54</v>
      </c>
      <c r="C14" s="60" t="s">
        <v>115</v>
      </c>
      <c r="D14" s="60" t="s">
        <v>116</v>
      </c>
      <c r="E14" s="60" t="s">
        <v>117</v>
      </c>
      <c r="F14" s="60" t="s">
        <v>239</v>
      </c>
    </row>
    <row r="15" spans="1:6" ht="14.25" customHeight="1">
      <c r="A15" s="58" t="s">
        <v>198</v>
      </c>
      <c r="B15" s="59" t="s">
        <v>55</v>
      </c>
      <c r="C15" s="60" t="s">
        <v>63</v>
      </c>
      <c r="D15" s="60" t="s">
        <v>118</v>
      </c>
      <c r="E15" s="60" t="s">
        <v>119</v>
      </c>
      <c r="F15" s="60" t="s">
        <v>240</v>
      </c>
    </row>
    <row r="16" spans="1:6" ht="14.25" customHeight="1">
      <c r="A16" s="58" t="s">
        <v>213</v>
      </c>
      <c r="B16" s="59" t="s">
        <v>56</v>
      </c>
      <c r="C16" s="60" t="s">
        <v>199</v>
      </c>
      <c r="D16" s="60" t="s">
        <v>116</v>
      </c>
      <c r="E16" s="60" t="s">
        <v>120</v>
      </c>
      <c r="F16" s="60" t="s">
        <v>241</v>
      </c>
    </row>
    <row r="17" spans="1:6" ht="14.25" customHeight="1">
      <c r="A17" s="58" t="s">
        <v>200</v>
      </c>
      <c r="B17" s="59" t="s">
        <v>57</v>
      </c>
      <c r="C17" s="60" t="s">
        <v>121</v>
      </c>
      <c r="D17" s="61" t="s">
        <v>34</v>
      </c>
      <c r="E17" s="60" t="s">
        <v>122</v>
      </c>
      <c r="F17" s="60" t="s">
        <v>92</v>
      </c>
    </row>
    <row r="18" spans="1:6" ht="14.25" customHeight="1">
      <c r="A18" s="58" t="s">
        <v>201</v>
      </c>
      <c r="B18" s="59" t="s">
        <v>58</v>
      </c>
      <c r="C18" s="60" t="s">
        <v>123</v>
      </c>
      <c r="D18" s="61" t="s">
        <v>34</v>
      </c>
      <c r="E18" s="60"/>
      <c r="F18" s="60" t="s">
        <v>202</v>
      </c>
    </row>
    <row r="19" spans="1:6" ht="14.25" customHeight="1">
      <c r="A19" s="58" t="s">
        <v>203</v>
      </c>
      <c r="B19" s="59" t="s">
        <v>59</v>
      </c>
      <c r="C19" s="60" t="s">
        <v>65</v>
      </c>
      <c r="D19" s="60" t="s">
        <v>34</v>
      </c>
      <c r="E19" s="60" t="s">
        <v>124</v>
      </c>
      <c r="F19" s="60" t="s">
        <v>125</v>
      </c>
    </row>
    <row r="20" spans="1:6" ht="14.25" customHeight="1">
      <c r="A20" s="58" t="s">
        <v>204</v>
      </c>
      <c r="B20" s="59" t="s">
        <v>60</v>
      </c>
      <c r="C20" s="60" t="s">
        <v>66</v>
      </c>
      <c r="D20" s="60" t="s">
        <v>34</v>
      </c>
      <c r="E20" s="60" t="s">
        <v>67</v>
      </c>
      <c r="F20" s="60" t="s">
        <v>126</v>
      </c>
    </row>
    <row r="21" spans="1:6" ht="14.25" customHeight="1">
      <c r="A21" s="58" t="s">
        <v>205</v>
      </c>
      <c r="B21" s="59" t="s">
        <v>61</v>
      </c>
      <c r="C21" s="60" t="s">
        <v>68</v>
      </c>
      <c r="D21" s="60" t="s">
        <v>127</v>
      </c>
      <c r="E21" s="60" t="s">
        <v>128</v>
      </c>
      <c r="F21" s="60" t="s">
        <v>242</v>
      </c>
    </row>
    <row r="22" spans="1:6" ht="14.25" customHeight="1">
      <c r="A22" s="58" t="s">
        <v>206</v>
      </c>
      <c r="B22" s="59" t="s">
        <v>62</v>
      </c>
      <c r="C22" s="60" t="s">
        <v>207</v>
      </c>
      <c r="D22" s="60" t="s">
        <v>208</v>
      </c>
      <c r="E22" s="60" t="s">
        <v>209</v>
      </c>
      <c r="F22" s="60" t="s">
        <v>255</v>
      </c>
    </row>
    <row r="23" spans="1:6" ht="14.25" customHeight="1">
      <c r="A23" s="58" t="s">
        <v>221</v>
      </c>
      <c r="B23" s="59" t="s">
        <v>64</v>
      </c>
      <c r="C23" s="60" t="s">
        <v>243</v>
      </c>
      <c r="D23" s="60" t="s">
        <v>244</v>
      </c>
      <c r="E23" s="60" t="s">
        <v>245</v>
      </c>
      <c r="F23" s="60" t="s">
        <v>233</v>
      </c>
    </row>
    <row r="24" spans="1:6" ht="14.25" customHeight="1">
      <c r="A24" s="58" t="s">
        <v>223</v>
      </c>
      <c r="B24" s="59" t="s">
        <v>246</v>
      </c>
      <c r="C24" s="60" t="s">
        <v>247</v>
      </c>
      <c r="D24" s="60" t="s">
        <v>248</v>
      </c>
      <c r="E24" s="60" t="s">
        <v>249</v>
      </c>
      <c r="F24" s="60" t="s">
        <v>233</v>
      </c>
    </row>
    <row r="25" spans="1:6" ht="14.25" customHeight="1">
      <c r="A25" s="58" t="s">
        <v>250</v>
      </c>
      <c r="B25" s="59" t="s">
        <v>251</v>
      </c>
      <c r="C25" s="60" t="s">
        <v>252</v>
      </c>
      <c r="D25" s="60" t="s">
        <v>252</v>
      </c>
      <c r="E25" s="60" t="s">
        <v>253</v>
      </c>
      <c r="F25" s="60" t="s">
        <v>233</v>
      </c>
    </row>
    <row r="26" spans="1:6" ht="14.25" customHeight="1">
      <c r="A26" s="58" t="s">
        <v>216</v>
      </c>
      <c r="B26" s="59" t="s">
        <v>256</v>
      </c>
      <c r="C26" s="60" t="s">
        <v>86</v>
      </c>
      <c r="D26" s="60" t="s">
        <v>257</v>
      </c>
      <c r="E26" s="60" t="s">
        <v>258</v>
      </c>
      <c r="F26" s="60" t="s">
        <v>259</v>
      </c>
    </row>
    <row r="27" spans="1:6" ht="14.25" customHeight="1">
      <c r="A27" s="58" t="s">
        <v>260</v>
      </c>
      <c r="B27" s="59" t="s">
        <v>261</v>
      </c>
      <c r="C27" s="60" t="s">
        <v>262</v>
      </c>
      <c r="D27" s="60" t="s">
        <v>263</v>
      </c>
      <c r="E27" s="60" t="s">
        <v>264</v>
      </c>
      <c r="F27" s="60" t="s">
        <v>265</v>
      </c>
    </row>
    <row r="28" spans="1:6" ht="14.25" customHeight="1">
      <c r="A28" s="58" t="s">
        <v>266</v>
      </c>
      <c r="B28" s="59" t="s">
        <v>267</v>
      </c>
      <c r="C28" s="60" t="s">
        <v>254</v>
      </c>
      <c r="D28" s="58"/>
      <c r="E28" s="58"/>
      <c r="F28" s="60" t="s">
        <v>210</v>
      </c>
    </row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O17" sqref="O17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32" t="s">
        <v>1</v>
      </c>
      <c r="G2" s="141"/>
      <c r="H2" s="141"/>
      <c r="I2" s="141"/>
      <c r="J2" s="141"/>
      <c r="K2" s="141"/>
      <c r="L2" s="141"/>
      <c r="M2" s="137"/>
      <c r="N2" s="44" t="s">
        <v>129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4" t="s">
        <v>85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32" t="s">
        <v>3</v>
      </c>
      <c r="G3" s="141"/>
      <c r="H3" s="141"/>
      <c r="I3" s="141"/>
      <c r="J3" s="141"/>
      <c r="K3" s="141"/>
      <c r="L3" s="141"/>
      <c r="M3" s="137"/>
      <c r="N3" s="44" t="s">
        <v>130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6">
        <v>45840</v>
      </c>
      <c r="AW3" s="141"/>
      <c r="AX3" s="141"/>
      <c r="AY3" s="141"/>
      <c r="AZ3" s="141"/>
      <c r="BA3" s="141"/>
      <c r="BB3" s="141"/>
      <c r="BC3" s="141"/>
      <c r="BD3" s="141"/>
      <c r="BE3" s="141"/>
      <c r="BF3" s="137"/>
    </row>
    <row r="4" spans="1:58">
      <c r="A4" s="1"/>
      <c r="B4" s="2"/>
      <c r="C4" s="2"/>
      <c r="D4" s="2"/>
      <c r="E4" s="2"/>
      <c r="F4" s="95" t="s">
        <v>5</v>
      </c>
      <c r="G4" s="141"/>
      <c r="H4" s="141"/>
      <c r="I4" s="141"/>
      <c r="J4" s="141"/>
      <c r="K4" s="141"/>
      <c r="L4" s="141"/>
      <c r="M4" s="137"/>
      <c r="N4" s="10" t="s">
        <v>138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19">
        <v>0.1</v>
      </c>
      <c r="AW4" s="141"/>
      <c r="AX4" s="141"/>
      <c r="AY4" s="141"/>
      <c r="AZ4" s="141"/>
      <c r="BA4" s="141"/>
      <c r="BB4" s="141"/>
      <c r="BC4" s="141"/>
      <c r="BD4" s="141"/>
      <c r="BE4" s="141"/>
      <c r="BF4" s="137"/>
    </row>
    <row r="5" spans="1:58">
      <c r="A5" s="1"/>
      <c r="B5" s="2"/>
      <c r="C5" s="2"/>
      <c r="D5" s="2"/>
      <c r="E5" s="2"/>
      <c r="F5" s="95" t="s">
        <v>7</v>
      </c>
      <c r="G5" s="141"/>
      <c r="H5" s="141"/>
      <c r="I5" s="141"/>
      <c r="J5" s="141"/>
      <c r="K5" s="141"/>
      <c r="L5" s="141"/>
      <c r="M5" s="137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32" t="s">
        <v>9</v>
      </c>
      <c r="G6" s="141"/>
      <c r="H6" s="141"/>
      <c r="I6" s="141"/>
      <c r="J6" s="141"/>
      <c r="K6" s="141"/>
      <c r="L6" s="141"/>
      <c r="M6" s="137"/>
      <c r="N6" s="10" t="s">
        <v>131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6">
        <v>45840</v>
      </c>
      <c r="AW6" s="141"/>
      <c r="AX6" s="141"/>
      <c r="AY6" s="141"/>
      <c r="AZ6" s="141"/>
      <c r="BA6" s="141"/>
      <c r="BB6" s="141"/>
      <c r="BC6" s="141"/>
      <c r="BD6" s="141"/>
      <c r="BE6" s="141"/>
      <c r="BF6" s="137"/>
    </row>
    <row r="7" spans="1:58">
      <c r="A7" s="1"/>
      <c r="B7" s="3" t="s">
        <v>11</v>
      </c>
      <c r="C7" s="4"/>
      <c r="D7" s="4"/>
      <c r="E7" s="4"/>
      <c r="F7" s="95" t="s">
        <v>12</v>
      </c>
      <c r="G7" s="141"/>
      <c r="H7" s="141"/>
      <c r="I7" s="141"/>
      <c r="J7" s="141"/>
      <c r="K7" s="141"/>
      <c r="L7" s="141"/>
      <c r="M7" s="137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32" t="s">
        <v>13</v>
      </c>
      <c r="G8" s="141"/>
      <c r="H8" s="141"/>
      <c r="I8" s="141"/>
      <c r="J8" s="141"/>
      <c r="K8" s="141"/>
      <c r="L8" s="141"/>
      <c r="M8" s="137"/>
      <c r="N8" s="10" t="s">
        <v>144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231" t="s">
        <v>14</v>
      </c>
      <c r="G9" s="134"/>
      <c r="H9" s="134"/>
      <c r="I9" s="134"/>
      <c r="J9" s="134"/>
      <c r="K9" s="134"/>
      <c r="L9" s="134"/>
      <c r="M9" s="135"/>
      <c r="N9" s="110" t="s">
        <v>147</v>
      </c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5"/>
    </row>
    <row r="10" spans="1:58">
      <c r="A10" s="1"/>
      <c r="B10" s="7"/>
      <c r="C10" s="8"/>
      <c r="D10" s="8"/>
      <c r="E10" s="8"/>
      <c r="F10" s="101"/>
      <c r="G10" s="155"/>
      <c r="H10" s="155"/>
      <c r="I10" s="155"/>
      <c r="J10" s="155"/>
      <c r="K10" s="155"/>
      <c r="L10" s="155"/>
      <c r="M10" s="156"/>
      <c r="N10" s="159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6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Histories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2025-02-23T01:49:24Z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